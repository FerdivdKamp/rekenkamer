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filterPrivacy="1"/>
  <xr:revisionPtr revIDLastSave="0" documentId="8_{1219828A-E944-D344-935E-C227EEA08688}" xr6:coauthVersionLast="47" xr6:coauthVersionMax="47" xr10:uidLastSave="{00000000-0000-0000-0000-000000000000}"/>
  <bookViews>
    <workbookView xWindow="68800" yWindow="1780" windowWidth="30240" windowHeight="18080" activeTab="3" xr2:uid="{00000000-000D-0000-FFFF-FFFF00000000}"/>
  </bookViews>
  <sheets>
    <sheet name="Infoblad" sheetId="1" r:id="rId1"/>
    <sheet name="RM_uitgaven" sheetId="2" r:id="rId2"/>
    <sheet name="RM_ontvangsten" sheetId="3" r:id="rId3"/>
    <sheet name="RM_uitgaven_en_ontvangsten" sheetId="4" r:id="rId4"/>
    <sheet name="bereik"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 l="1"/>
  <c r="M8" i="4"/>
  <c r="M3" i="4"/>
  <c r="M2" i="4"/>
  <c r="F11" i="4"/>
  <c r="F11" i="2"/>
  <c r="J4" i="3"/>
  <c r="H11" i="4"/>
  <c r="M10" i="4"/>
  <c r="L10" i="4"/>
  <c r="J10" i="4"/>
  <c r="I10" i="4"/>
  <c r="K10" i="4" s="1"/>
  <c r="N10" i="4" s="1"/>
  <c r="G10" i="4"/>
  <c r="F10" i="4"/>
  <c r="M9" i="4"/>
  <c r="L9" i="4"/>
  <c r="K9" i="4"/>
  <c r="N9" i="4" s="1"/>
  <c r="O9" i="4" s="1"/>
  <c r="J9" i="4"/>
  <c r="I9" i="4"/>
  <c r="F9" i="4"/>
  <c r="G9" i="4" s="1"/>
  <c r="L8" i="4"/>
  <c r="J8" i="4"/>
  <c r="I8" i="4"/>
  <c r="K8" i="4" s="1"/>
  <c r="N8" i="4" s="1"/>
  <c r="F8" i="4"/>
  <c r="G8" i="4" s="1"/>
  <c r="L7" i="4"/>
  <c r="J7" i="4"/>
  <c r="I7" i="4"/>
  <c r="K7" i="4" s="1"/>
  <c r="F7" i="4"/>
  <c r="M6" i="4"/>
  <c r="L6" i="4"/>
  <c r="J6" i="4"/>
  <c r="I6" i="4"/>
  <c r="G6" i="4"/>
  <c r="F6" i="4"/>
  <c r="M5" i="4"/>
  <c r="L5" i="4"/>
  <c r="J5" i="4"/>
  <c r="K5" i="4" s="1"/>
  <c r="N5" i="4" s="1"/>
  <c r="O5" i="4" s="1"/>
  <c r="I5" i="4"/>
  <c r="F5" i="4"/>
  <c r="G5" i="4" s="1"/>
  <c r="M4" i="4"/>
  <c r="L4" i="4"/>
  <c r="J4" i="4"/>
  <c r="I4" i="4"/>
  <c r="K4" i="4" s="1"/>
  <c r="N4" i="4" s="1"/>
  <c r="F4" i="4"/>
  <c r="L3" i="4"/>
  <c r="J3" i="4"/>
  <c r="I3" i="4"/>
  <c r="K3" i="4" s="1"/>
  <c r="N3" i="4" s="1"/>
  <c r="O3" i="4" s="1"/>
  <c r="F3" i="4"/>
  <c r="L2" i="4"/>
  <c r="L11" i="4" s="1"/>
  <c r="J2" i="4"/>
  <c r="I2" i="4"/>
  <c r="K2" i="4" s="1"/>
  <c r="F2" i="4"/>
  <c r="G2" i="4" s="1"/>
  <c r="L11" i="3"/>
  <c r="K11" i="3"/>
  <c r="I11" i="3"/>
  <c r="H11" i="3"/>
  <c r="G11" i="3"/>
  <c r="F11" i="3"/>
  <c r="J10" i="3"/>
  <c r="M10" i="3" s="1"/>
  <c r="J9" i="3"/>
  <c r="M9" i="3" s="1"/>
  <c r="M8" i="3"/>
  <c r="J8" i="3"/>
  <c r="J7" i="3"/>
  <c r="M7" i="3" s="1"/>
  <c r="J6" i="3"/>
  <c r="M6" i="3" s="1"/>
  <c r="J5" i="3"/>
  <c r="M5" i="3" s="1"/>
  <c r="J11" i="3"/>
  <c r="M11" i="3" s="1"/>
  <c r="M3" i="3"/>
  <c r="J3" i="3"/>
  <c r="J2" i="3"/>
  <c r="M2" i="3" s="1"/>
  <c r="L11" i="2"/>
  <c r="K11" i="2"/>
  <c r="I11" i="2"/>
  <c r="H11" i="2"/>
  <c r="G11" i="2"/>
  <c r="J10" i="2"/>
  <c r="M10" i="2" s="1"/>
  <c r="J9" i="2"/>
  <c r="M9" i="2" s="1"/>
  <c r="J8" i="2"/>
  <c r="M8" i="2" s="1"/>
  <c r="J7" i="2"/>
  <c r="M7" i="2" s="1"/>
  <c r="J6" i="2"/>
  <c r="M6" i="2" s="1"/>
  <c r="J5" i="2"/>
  <c r="M5" i="2" s="1"/>
  <c r="M4" i="2"/>
  <c r="J4" i="2"/>
  <c r="W3" i="2"/>
  <c r="J3" i="2"/>
  <c r="M3" i="2" s="1"/>
  <c r="M2" i="2"/>
  <c r="J2" i="2"/>
  <c r="N7" i="4" l="1"/>
  <c r="J11" i="2"/>
  <c r="M11" i="2" s="1"/>
  <c r="Q5" i="4"/>
  <c r="R5" i="2"/>
  <c r="Q5" i="2"/>
  <c r="P5" i="2"/>
  <c r="O5" i="2"/>
  <c r="W5" i="4"/>
  <c r="T5" i="3"/>
  <c r="V5" i="4"/>
  <c r="S5" i="3"/>
  <c r="R5" i="3"/>
  <c r="V5" i="2"/>
  <c r="T5" i="4"/>
  <c r="V5" i="3"/>
  <c r="X5" i="4"/>
  <c r="U5" i="3"/>
  <c r="U5" i="4"/>
  <c r="P5" i="3"/>
  <c r="T5" i="2"/>
  <c r="Q5" i="3"/>
  <c r="S5" i="4"/>
  <c r="O5" i="3"/>
  <c r="R5" i="4"/>
  <c r="U5" i="2"/>
  <c r="S5" i="2"/>
  <c r="R9" i="3"/>
  <c r="V9" i="2"/>
  <c r="Q9" i="3"/>
  <c r="U9" i="2"/>
  <c r="X9" i="4"/>
  <c r="P9" i="3"/>
  <c r="W9" i="3" s="1"/>
  <c r="T9" i="2"/>
  <c r="W9" i="4"/>
  <c r="O9" i="3"/>
  <c r="S9" i="2"/>
  <c r="V9" i="4"/>
  <c r="U9" i="4"/>
  <c r="S9" i="4"/>
  <c r="O9" i="2"/>
  <c r="V9" i="3"/>
  <c r="U9" i="3"/>
  <c r="R9" i="4"/>
  <c r="G7" i="4"/>
  <c r="O7" i="4" s="1"/>
  <c r="T9" i="4"/>
  <c r="Q9" i="2"/>
  <c r="Q10" i="4"/>
  <c r="R9" i="2"/>
  <c r="P9" i="2"/>
  <c r="O10" i="4"/>
  <c r="T9" i="3"/>
  <c r="K6" i="4"/>
  <c r="N6" i="4" s="1"/>
  <c r="O6" i="4" s="1"/>
  <c r="I11" i="4"/>
  <c r="J11" i="4"/>
  <c r="S9" i="3"/>
  <c r="N2" i="4"/>
  <c r="O2" i="4" s="1"/>
  <c r="K11" i="4"/>
  <c r="N11" i="4" s="1"/>
  <c r="O8" i="4"/>
  <c r="Q9" i="4"/>
  <c r="M4" i="3"/>
  <c r="G3" i="4"/>
  <c r="G4" i="4"/>
  <c r="O4" i="4" s="1"/>
  <c r="S4" i="4" l="1"/>
  <c r="R4" i="4"/>
  <c r="V4" i="3"/>
  <c r="R4" i="3"/>
  <c r="V4" i="2"/>
  <c r="P4" i="3"/>
  <c r="O4" i="3"/>
  <c r="S4" i="2"/>
  <c r="X4" i="4"/>
  <c r="R4" i="2"/>
  <c r="Q4" i="2"/>
  <c r="V4" i="4"/>
  <c r="Q4" i="3"/>
  <c r="U4" i="2"/>
  <c r="T4" i="2"/>
  <c r="W4" i="4"/>
  <c r="T4" i="4"/>
  <c r="O4" i="2"/>
  <c r="U4" i="4"/>
  <c r="P4" i="2"/>
  <c r="T4" i="3"/>
  <c r="U4" i="3"/>
  <c r="S4" i="3"/>
  <c r="Q4" i="4"/>
  <c r="T3" i="3"/>
  <c r="V3" i="4" s="1"/>
  <c r="S3" i="3"/>
  <c r="U3" i="4" s="1"/>
  <c r="R3" i="3"/>
  <c r="T3" i="4" s="1"/>
  <c r="O3" i="2"/>
  <c r="Q3" i="3"/>
  <c r="S3" i="4" s="1"/>
  <c r="P3" i="3"/>
  <c r="O3" i="3"/>
  <c r="V3" i="3"/>
  <c r="X3" i="4" s="1"/>
  <c r="U3" i="3"/>
  <c r="W3" i="4" s="1"/>
  <c r="Q3" i="4"/>
  <c r="V7" i="3"/>
  <c r="U7" i="3"/>
  <c r="W7" i="4"/>
  <c r="Q7" i="3"/>
  <c r="U7" i="2"/>
  <c r="O7" i="3"/>
  <c r="T7" i="4"/>
  <c r="S7" i="4"/>
  <c r="P7" i="2"/>
  <c r="V7" i="4"/>
  <c r="P7" i="3"/>
  <c r="T7" i="2"/>
  <c r="U7" i="4"/>
  <c r="S7" i="2"/>
  <c r="R7" i="2"/>
  <c r="Q7" i="2"/>
  <c r="R7" i="4"/>
  <c r="V7" i="2"/>
  <c r="O7" i="2"/>
  <c r="X7" i="4"/>
  <c r="S7" i="3"/>
  <c r="T7" i="3"/>
  <c r="R7" i="3"/>
  <c r="Q7" i="4"/>
  <c r="Q8" i="2"/>
  <c r="P8" i="2"/>
  <c r="O8" i="2"/>
  <c r="X8" i="4"/>
  <c r="W8" i="4"/>
  <c r="U8" i="4"/>
  <c r="V8" i="3"/>
  <c r="S8" i="4"/>
  <c r="R8" i="4"/>
  <c r="S8" i="3"/>
  <c r="R8" i="3"/>
  <c r="V8" i="2"/>
  <c r="Q8" i="3"/>
  <c r="U8" i="2"/>
  <c r="P8" i="3"/>
  <c r="T8" i="4"/>
  <c r="U8" i="3"/>
  <c r="T8" i="3"/>
  <c r="S8" i="2"/>
  <c r="V8" i="4"/>
  <c r="T8" i="2"/>
  <c r="R8" i="2"/>
  <c r="O8" i="3"/>
  <c r="V2" i="4"/>
  <c r="O2" i="3"/>
  <c r="U2" i="4"/>
  <c r="T2" i="4"/>
  <c r="S2" i="4"/>
  <c r="R2" i="4"/>
  <c r="U2" i="2"/>
  <c r="V2" i="3"/>
  <c r="R2" i="2"/>
  <c r="T2" i="3"/>
  <c r="S2" i="3"/>
  <c r="P2" i="2"/>
  <c r="T2" i="2"/>
  <c r="S2" i="2"/>
  <c r="U2" i="3"/>
  <c r="Q2" i="2"/>
  <c r="P2" i="3"/>
  <c r="V2" i="2"/>
  <c r="O2" i="2"/>
  <c r="X2" i="4"/>
  <c r="R2" i="3"/>
  <c r="Q2" i="3"/>
  <c r="W2" i="4"/>
  <c r="Y5" i="4"/>
  <c r="Q8" i="4"/>
  <c r="X10" i="4"/>
  <c r="W10" i="4"/>
  <c r="V10" i="3"/>
  <c r="V10" i="4"/>
  <c r="U10" i="3"/>
  <c r="U10" i="4"/>
  <c r="T10" i="3"/>
  <c r="T10" i="4"/>
  <c r="S10" i="4"/>
  <c r="P10" i="3"/>
  <c r="W10" i="3" s="1"/>
  <c r="T10" i="2"/>
  <c r="Q10" i="2"/>
  <c r="P10" i="2"/>
  <c r="O10" i="2"/>
  <c r="O10" i="3"/>
  <c r="S10" i="2"/>
  <c r="R10" i="2"/>
  <c r="S10" i="3"/>
  <c r="R10" i="3"/>
  <c r="U10" i="2"/>
  <c r="Q10" i="3"/>
  <c r="R10" i="4"/>
  <c r="V10" i="2"/>
  <c r="W5" i="3"/>
  <c r="G11" i="4"/>
  <c r="O11" i="4" s="1"/>
  <c r="Y9" i="4"/>
  <c r="S6" i="3"/>
  <c r="R6" i="3"/>
  <c r="V6" i="2"/>
  <c r="Q6" i="3"/>
  <c r="U6" i="2"/>
  <c r="P6" i="3"/>
  <c r="T6" i="2"/>
  <c r="X6" i="4"/>
  <c r="P6" i="2"/>
  <c r="U6" i="4"/>
  <c r="T6" i="4"/>
  <c r="R6" i="4"/>
  <c r="V6" i="3"/>
  <c r="W6" i="4"/>
  <c r="O6" i="2"/>
  <c r="V6" i="4"/>
  <c r="S6" i="4"/>
  <c r="U6" i="3"/>
  <c r="R6" i="2"/>
  <c r="T6" i="3"/>
  <c r="O6" i="3"/>
  <c r="S6" i="2"/>
  <c r="Q6" i="2"/>
  <c r="Q6" i="4"/>
  <c r="W5" i="2"/>
  <c r="W9" i="2"/>
  <c r="Q2" i="4"/>
  <c r="W4" i="3" l="1"/>
  <c r="W8" i="3"/>
  <c r="Y8" i="4"/>
  <c r="S11" i="3"/>
  <c r="O11" i="2"/>
  <c r="O11" i="3"/>
  <c r="Q11" i="4"/>
  <c r="Y2" i="4"/>
  <c r="X11" i="4"/>
  <c r="T11" i="4"/>
  <c r="U11" i="4"/>
  <c r="W10" i="2"/>
  <c r="V11" i="2"/>
  <c r="W2" i="3"/>
  <c r="P11" i="3"/>
  <c r="V11" i="4"/>
  <c r="Y7" i="4"/>
  <c r="Q11" i="3"/>
  <c r="R11" i="3"/>
  <c r="U11" i="2"/>
  <c r="Y6" i="4"/>
  <c r="Y10" i="4"/>
  <c r="U11" i="3"/>
  <c r="S11" i="2"/>
  <c r="W7" i="3"/>
  <c r="W4" i="2"/>
  <c r="Q11" i="2"/>
  <c r="W6" i="2"/>
  <c r="W8" i="2"/>
  <c r="W3" i="3"/>
  <c r="W11" i="4"/>
  <c r="S11" i="4"/>
  <c r="P11" i="2"/>
  <c r="W2" i="2"/>
  <c r="W6" i="3"/>
  <c r="T11" i="3"/>
  <c r="R11" i="2"/>
  <c r="Y4" i="4"/>
  <c r="T11" i="2"/>
  <c r="W7" i="2"/>
  <c r="V11" i="3"/>
  <c r="R3" i="4"/>
  <c r="Y3" i="4" s="1"/>
  <c r="W11" i="2" l="1"/>
  <c r="R11" i="4"/>
  <c r="Y11" i="4" s="1"/>
  <c r="W1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tc={BF05F481-5739-AE46-B030-D50D04780C9F}</author>
  </authors>
  <commentList>
    <comment ref="N4" authorId="0" shapeId="0" xr:uid="{BF05F481-5739-AE46-B030-D50D04780C9F}">
      <text>
        <t>[Threaded comment]
Your version of Excel allows you to read this threaded comment; however, any edits to it will get removed if the file is opened in a newer version of Excel. Learn more: https://go.microsoft.com/fwlink/?linkid=870924
Comment:
    Statistische onderbouwing ontbreekt</t>
      </text>
    </comment>
  </commentList>
</comments>
</file>

<file path=xl/sharedStrings.xml><?xml version="1.0" encoding="utf-8"?>
<sst xmlns="http://schemas.openxmlformats.org/spreadsheetml/2006/main" count="242" uniqueCount="61">
  <si>
    <t>Soort meest waarschijnlijke fout en zekerheid</t>
  </si>
  <si>
    <t>Toelichting</t>
  </si>
  <si>
    <t>Prioriteit</t>
  </si>
  <si>
    <t>Meest waarschijnlijke fout en onzekerheid: 
Niet naleven budgetrecht (vereisten uit de Comptabiliteitswet)</t>
  </si>
  <si>
    <t>Deze categorie betreft het budgetrecht van beide kamers. De voornaamste oorzaak voor onrechtmatigheden in deze categorie volgt uit het aangaan van verplichtingen of doen van uitgaven voordat voldaan is aan de eisen uit artikel 2.25 en art. 2.27 CW. Ook het niet tijdig melden van slotwetmutaties (veegbrief aan beide kamers) valt hier onder. Zie voorts het fiche budgetrecht.</t>
  </si>
  <si>
    <t xml:space="preserve">Meest waarschijnlijke fout en onzekerheid: 
Inkopen - Niet naleven aanbestedingswet- en regelgeving </t>
  </si>
  <si>
    <t>Deze categorie betreft onrechtmatigheden door het niet naleven van wet- en regelgeving bij inkopen en aanbestedingen. Het gaat daarbij om inkoopcontracten en overbruggings-overeenkomsten waarbij niet wordt voldaan aan Europese of nationale aanbestedingswet- en regelgeving. Bijvoorbeeld het onjuist afroepen op een contract.</t>
  </si>
  <si>
    <t>Meest waarschijnlijke fout en onzekerheid: 
Inkopen - Ontbreken prestatieverklaring</t>
  </si>
  <si>
    <t>Deze categorie betreft het ontbreken van een prestatieverklaring, dit leidt tot een onzekerheid in de rechtmatigheid.</t>
  </si>
  <si>
    <t>Meest waarschijnlijke fout en onzekerheid: 
Staatssteun</t>
  </si>
  <si>
    <t>Deze categorie betreft een onrechtmatigheid of onzekerheid vanuit de controle op staatssteun, zie HARo M2.12.</t>
  </si>
  <si>
    <t>Meest waarschijnlijke fout en onzekerheid: 
Ontoereikendheid in M&amp;O-beleid</t>
  </si>
  <si>
    <t>Deze categorie betreft een ontoereikende opzet of werking van het M&amp;O-beleid. Veelal zullen dit onzekerheden zijn.</t>
  </si>
  <si>
    <t>Meest waarschijnlijke fout en onzekerheid: 
Niet naleven van de Regeling Financieel Beheer van het Rijk</t>
  </si>
  <si>
    <t>Deze categorie betreft onrechtmatigheden die het niet naleven van de Regeling Financieel Beheer van het Rijk betreffen. Bijvoorbeeld het ontbreken van de vereiste bankgaranties of voorschotverlening.</t>
  </si>
  <si>
    <t>Meest waarschijnlijke fout en onzekerheid: 
Onrechtmatigheden in ministerie specifieke wet- en regelgeving of het niet naleven van overige comptabele wet- en regelgeving</t>
  </si>
  <si>
    <t>Deze categorie betreft het niet naleven van comptabele wet- en regelgeving of ministerie specifieke wet- en regelgeving. De onrechtmatigheden hebben geen betrekking op categorie 1 (budgetrecht) of categorie 2 (inhoudelijke categorie). 
Bijvoorbeeld ministerie specifieke wet- en regelgeving waarbij een onjuiste subsidieberekening heeft plaatsgevonden, waarbij geen sprake is van een ontoereikendheid in het M&amp;O-beleid.
Bijvoorbeeld het niet naleven van de bepalingen uit voorafgaand toezicht (Comptabiliteitswet, niet zijnde budgetrecht).</t>
  </si>
  <si>
    <t>Versie 1.2 (11.11.2024)</t>
  </si>
  <si>
    <t>hoofdstuk nr</t>
  </si>
  <si>
    <t>hoofdstuk</t>
  </si>
  <si>
    <t>artikel nr</t>
  </si>
  <si>
    <t>artikel</t>
  </si>
  <si>
    <t>soort artikel</t>
  </si>
  <si>
    <t>verantwoord bedrag</t>
  </si>
  <si>
    <t>steekproef</t>
  </si>
  <si>
    <t>meest waarschijnlijke fout</t>
  </si>
  <si>
    <t>meest waarschijnlijke onzekerheid</t>
  </si>
  <si>
    <t>meest waarschijnlijke fout en onzekerheid</t>
  </si>
  <si>
    <t>basis onnauwkeurigheid</t>
  </si>
  <si>
    <t>nauwkeurigheids verval</t>
  </si>
  <si>
    <t>maximale fout en onzekerheid</t>
  </si>
  <si>
    <t>niet kwantificeerbare bevindingen</t>
  </si>
  <si>
    <t>% meest waarschijnlijke fout en onzekerheid</t>
  </si>
  <si>
    <t>meest waarschijnlijke fout en onzekerheid: niet naleven budgetrecht (vereisten uit de comptabiliteitswet)</t>
  </si>
  <si>
    <t>meest waarschijnlijke fout en onzekerheid: inkopen - niet naleven aanbestedingswet- en regelgeving</t>
  </si>
  <si>
    <t>meest waarschijnlijke fout en onzekerheid: inkopen - ontbreken prestatieverklaring</t>
  </si>
  <si>
    <t>meest waarschijnlijke fout en onzekerheid: staatssteun</t>
  </si>
  <si>
    <t>meest waarschijnlijke fout en onzekerheid: ontoereikendheid in M&amp;O-beleid</t>
  </si>
  <si>
    <t>meest waarschijnlijke fout en onzekerheid: niet naleven van de regeling financieel beheer van het rijk</t>
  </si>
  <si>
    <t>meest waarschijnlijke fout en onzekerheid: onrechtmatigheden in ministerie specifieke wet- en regelgeving of het niet naleven van overige comptabele wet- en regelgeving</t>
  </si>
  <si>
    <t>optelling soort meest waarschijnlijke fout en onzekerheid</t>
  </si>
  <si>
    <t>opmerkingen</t>
  </si>
  <si>
    <t>VII</t>
  </si>
  <si>
    <t>Binnenlandse Zaken &amp; Koninkrijksrelaties</t>
  </si>
  <si>
    <t>Openbaar bestuur en democratie</t>
  </si>
  <si>
    <t>Beleidsartikel</t>
  </si>
  <si>
    <t>nee</t>
  </si>
  <si>
    <t>Nationale veiligheid</t>
  </si>
  <si>
    <t>ja</t>
  </si>
  <si>
    <t>Overheidsdienstverlening en informatiesamenleving</t>
  </si>
  <si>
    <t>Niet meegenomen in Totaal</t>
  </si>
  <si>
    <t>Werkgevers- en bedrijfsvoeringsbeleid</t>
  </si>
  <si>
    <t>Slavernijverleden: fonds en herdenkingscomité</t>
  </si>
  <si>
    <t>Een veilig Groningen met perspectief</t>
  </si>
  <si>
    <t>Centraal apparaat</t>
  </si>
  <si>
    <t>Niet-beleidsartikel</t>
  </si>
  <si>
    <t>Algemeen</t>
  </si>
  <si>
    <t>Nog onverdeeld</t>
  </si>
  <si>
    <t>Totaal</t>
  </si>
  <si>
    <t>tolerantie grens</t>
  </si>
  <si>
    <t>tolerantie overschreden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</si>
</sst>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indexed="8"/>
      <name val="Calibri"/>
    </font>
    <font>
      <b/>
      <sz val="11"/>
      <color indexed="9"/>
      <name val="Calibri"/>
    </font>
    <font>
      <b/>
      <sz val="11"/>
      <color indexed="8"/>
      <name val="Calibri"/>
    </font>
    <font>
      <u/>
      <sz val="11"/>
      <color indexed="13"/>
      <name val="Calibri"/>
    </font>
    <font>
      <sz val="10"/>
      <color rgb="FF000000"/>
      <name val="Tahoma"/>
      <family val="2"/>
    </font>
  </fonts>
  <fills count="10">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s>
  <borders count="9">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thin">
        <color indexed="8"/>
      </top>
      <bottom style="thin">
        <color indexed="11"/>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11"/>
      </left>
      <right style="thin">
        <color indexed="8"/>
      </right>
      <top style="thin">
        <color indexed="8"/>
      </top>
      <bottom style="thin">
        <color indexed="11"/>
      </bottom>
      <diagonal/>
    </border>
  </borders>
  <cellStyleXfs count="1">
    <xf numFmtId="0" fontId="0" fillId="0" borderId="0" applyNumberFormat="0" applyFill="0" applyBorder="0" applyProtection="0"/>
  </cellStyleXfs>
  <cellXfs count="49">
    <xf numFmtId="0" fontId="0" fillId="0" borderId="0" xfId="0"/>
    <xf numFmtId="0" fontId="0" fillId="0" borderId="0" xfId="0" applyNumberFormat="1"/>
    <xf numFmtId="49" fontId="1" fillId="2" borderId="1" xfId="0" applyNumberFormat="1" applyFont="1" applyFill="1" applyBorder="1" applyAlignment="1">
      <alignment vertical="top" wrapText="1"/>
    </xf>
    <xf numFmtId="0" fontId="0" fillId="3" borderId="2" xfId="0" applyFill="1" applyBorder="1"/>
    <xf numFmtId="0" fontId="0" fillId="3" borderId="3" xfId="0" applyFill="1" applyBorder="1"/>
    <xf numFmtId="49" fontId="2" fillId="3" borderId="1" xfId="0" applyNumberFormat="1" applyFont="1" applyFill="1" applyBorder="1" applyAlignment="1">
      <alignment vertical="top" wrapText="1"/>
    </xf>
    <xf numFmtId="49" fontId="0" fillId="3" borderId="1" xfId="0" applyNumberFormat="1" applyFill="1" applyBorder="1" applyAlignment="1">
      <alignment vertical="top" wrapText="1"/>
    </xf>
    <xf numFmtId="0" fontId="0" fillId="3" borderId="1" xfId="0" applyNumberFormat="1" applyFill="1" applyBorder="1"/>
    <xf numFmtId="49" fontId="2" fillId="4" borderId="1" xfId="0" applyNumberFormat="1" applyFont="1" applyFill="1" applyBorder="1" applyAlignment="1">
      <alignment vertical="top" wrapText="1"/>
    </xf>
    <xf numFmtId="49" fontId="0" fillId="4" borderId="1" xfId="0" applyNumberFormat="1" applyFill="1" applyBorder="1" applyAlignment="1">
      <alignment vertical="top" wrapText="1"/>
    </xf>
    <xf numFmtId="0" fontId="0" fillId="4" borderId="1" xfId="0" applyNumberFormat="1" applyFill="1" applyBorder="1"/>
    <xf numFmtId="0" fontId="0" fillId="4" borderId="1" xfId="0" applyFill="1" applyBorder="1" applyAlignment="1">
      <alignment vertical="top" wrapText="1"/>
    </xf>
    <xf numFmtId="0" fontId="0" fillId="4" borderId="1" xfId="0" applyFill="1" applyBorder="1"/>
    <xf numFmtId="0" fontId="0" fillId="3" borderId="4" xfId="0" applyFill="1" applyBorder="1"/>
    <xf numFmtId="49" fontId="3" fillId="3" borderId="3" xfId="0" applyNumberFormat="1" applyFont="1" applyFill="1" applyBorder="1"/>
    <xf numFmtId="49" fontId="1" fillId="5" borderId="1" xfId="0" applyNumberFormat="1" applyFont="1" applyFill="1" applyBorder="1" applyAlignment="1">
      <alignment vertical="top" wrapText="1"/>
    </xf>
    <xf numFmtId="49" fontId="1" fillId="6" borderId="1" xfId="0" applyNumberFormat="1" applyFont="1" applyFill="1" applyBorder="1" applyAlignment="1">
      <alignment vertical="top" wrapText="1"/>
    </xf>
    <xf numFmtId="49" fontId="1" fillId="7" borderId="1" xfId="0" applyNumberFormat="1" applyFont="1" applyFill="1" applyBorder="1" applyAlignment="1">
      <alignment vertical="top" wrapText="1"/>
    </xf>
    <xf numFmtId="49" fontId="1" fillId="8" borderId="1" xfId="0" applyNumberFormat="1" applyFont="1" applyFill="1" applyBorder="1" applyAlignment="1">
      <alignment vertical="top" wrapText="1"/>
    </xf>
    <xf numFmtId="49" fontId="0" fillId="3" borderId="5" xfId="0" applyNumberFormat="1" applyFill="1" applyBorder="1"/>
    <xf numFmtId="0" fontId="0" fillId="3" borderId="5" xfId="0" applyNumberFormat="1" applyFill="1" applyBorder="1"/>
    <xf numFmtId="3" fontId="0" fillId="3" borderId="5" xfId="0" applyNumberFormat="1" applyFill="1" applyBorder="1"/>
    <xf numFmtId="0" fontId="0" fillId="3" borderId="5" xfId="0" applyFill="1" applyBorder="1"/>
    <xf numFmtId="49" fontId="0" fillId="4" borderId="6" xfId="0" applyNumberFormat="1" applyFill="1" applyBorder="1"/>
    <xf numFmtId="0" fontId="0" fillId="4" borderId="6" xfId="0" applyNumberFormat="1" applyFill="1" applyBorder="1"/>
    <xf numFmtId="3" fontId="0" fillId="4" borderId="6" xfId="0" applyNumberFormat="1" applyFill="1" applyBorder="1"/>
    <xf numFmtId="0" fontId="0" fillId="4" borderId="6" xfId="0" applyFill="1" applyBorder="1"/>
    <xf numFmtId="164" fontId="0" fillId="4" borderId="6" xfId="0" applyNumberFormat="1" applyFill="1" applyBorder="1"/>
    <xf numFmtId="49" fontId="0" fillId="3" borderId="6" xfId="0" applyNumberFormat="1" applyFill="1" applyBorder="1" applyAlignment="1">
      <alignment wrapText="1"/>
    </xf>
    <xf numFmtId="0" fontId="0" fillId="3" borderId="6" xfId="0" applyNumberFormat="1" applyFill="1" applyBorder="1" applyAlignment="1">
      <alignment wrapText="1"/>
    </xf>
    <xf numFmtId="3" fontId="0" fillId="3" borderId="6" xfId="0" applyNumberFormat="1" applyFill="1" applyBorder="1" applyAlignment="1">
      <alignment wrapText="1"/>
    </xf>
    <xf numFmtId="0" fontId="0" fillId="3" borderId="6" xfId="0" applyFill="1" applyBorder="1" applyAlignment="1">
      <alignment wrapText="1"/>
    </xf>
    <xf numFmtId="49" fontId="0" fillId="4" borderId="6" xfId="0" applyNumberFormat="1" applyFill="1" applyBorder="1" applyAlignment="1">
      <alignment wrapText="1"/>
    </xf>
    <xf numFmtId="0" fontId="0" fillId="4" borderId="6" xfId="0" applyNumberFormat="1" applyFill="1" applyBorder="1" applyAlignment="1">
      <alignment wrapText="1"/>
    </xf>
    <xf numFmtId="3" fontId="0" fillId="4" borderId="6" xfId="0" applyNumberFormat="1" applyFill="1" applyBorder="1" applyAlignment="1">
      <alignment wrapText="1"/>
    </xf>
    <xf numFmtId="0" fontId="0" fillId="4" borderId="6" xfId="0" applyFill="1" applyBorder="1" applyAlignment="1">
      <alignment wrapText="1"/>
    </xf>
    <xf numFmtId="49" fontId="0" fillId="3" borderId="7" xfId="0" applyNumberFormat="1" applyFill="1" applyBorder="1" applyAlignment="1">
      <alignment wrapText="1"/>
    </xf>
    <xf numFmtId="0" fontId="0" fillId="3" borderId="7" xfId="0" applyNumberFormat="1" applyFill="1" applyBorder="1" applyAlignment="1">
      <alignment wrapText="1"/>
    </xf>
    <xf numFmtId="3" fontId="0" fillId="3" borderId="7" xfId="0" applyNumberFormat="1" applyFill="1" applyBorder="1" applyAlignment="1">
      <alignment wrapText="1"/>
    </xf>
    <xf numFmtId="0" fontId="0" fillId="3" borderId="7" xfId="0" applyFill="1" applyBorder="1" applyAlignment="1">
      <alignment wrapText="1"/>
    </xf>
    <xf numFmtId="49" fontId="0" fillId="3" borderId="4" xfId="0" applyNumberFormat="1" applyFill="1" applyBorder="1" applyAlignment="1">
      <alignment wrapText="1"/>
    </xf>
    <xf numFmtId="0" fontId="0" fillId="3" borderId="4" xfId="0" applyFill="1" applyBorder="1" applyAlignment="1">
      <alignment wrapText="1"/>
    </xf>
    <xf numFmtId="0" fontId="0" fillId="3" borderId="8" xfId="0" applyFill="1" applyBorder="1" applyAlignment="1">
      <alignment wrapText="1"/>
    </xf>
    <xf numFmtId="49" fontId="0" fillId="3" borderId="1" xfId="0" applyNumberFormat="1" applyFill="1" applyBorder="1" applyAlignment="1">
      <alignment wrapText="1"/>
    </xf>
    <xf numFmtId="3" fontId="0" fillId="3" borderId="1" xfId="0" applyNumberFormat="1" applyFill="1" applyBorder="1" applyAlignment="1">
      <alignment wrapText="1"/>
    </xf>
    <xf numFmtId="0" fontId="0" fillId="3" borderId="1" xfId="0" applyFill="1" applyBorder="1" applyAlignment="1">
      <alignment wrapText="1"/>
    </xf>
    <xf numFmtId="0" fontId="0" fillId="3" borderId="3" xfId="0" applyFill="1" applyBorder="1" applyAlignment="1">
      <alignment wrapText="1"/>
    </xf>
    <xf numFmtId="49" fontId="1" fillId="9" borderId="1" xfId="0" applyNumberFormat="1" applyFont="1" applyFill="1" applyBorder="1" applyAlignment="1">
      <alignment vertical="top" wrapText="1"/>
    </xf>
    <xf numFmtId="49" fontId="0" fillId="3" borderId="3" xfId="0" applyNumberFormat="1" applyFill="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BF8F00"/>
      <rgbColor rgb="FFAAAAAA"/>
      <rgbColor rgb="FFECECEC"/>
      <rgbColor rgb="FF0000FF"/>
      <rgbColor rgb="FF878787"/>
      <rgbColor rgb="FFBE5900"/>
      <rgbColor rgb="FF00BCDF"/>
      <rgbColor rgb="FFA2A419"/>
      <rgbColor rgb="FF741672"/>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4" dT="2026-04-10T09:20:11.00" personId="{00000000-0000-0000-0000-000000000000}" id="{BF05F481-5739-AE46-B030-D50D04780C9F}">
    <text>Statistische onderbouwing ontbreekt</text>
  </threadedComment>
</ThreadedComment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showGridLines="0" workbookViewId="0">
      <selection activeCell="A11" sqref="A11"/>
    </sheetView>
  </sheetViews>
  <sheetFormatPr baseColWidth="10" defaultColWidth="10.83203125" defaultRowHeight="14.5" customHeight="1" x14ac:dyDescent="0.2"/>
  <cols>
    <col min="1" max="1" width="60.6640625" style="1" customWidth="1"/>
    <col min="2" max="2" width="100.6640625" style="1" customWidth="1"/>
    <col min="3" max="3" width="10.6640625" style="1" customWidth="1"/>
    <col min="4" max="6" width="10.83203125" style="1" customWidth="1"/>
    <col min="7" max="16384" width="10.83203125" style="1"/>
  </cols>
  <sheetData>
    <row r="1" spans="1:5" ht="13.5" customHeight="1" x14ac:dyDescent="0.2">
      <c r="A1" s="2" t="s">
        <v>0</v>
      </c>
      <c r="B1" s="2" t="s">
        <v>1</v>
      </c>
      <c r="C1" s="2" t="s">
        <v>2</v>
      </c>
      <c r="D1" s="3"/>
      <c r="E1" s="4"/>
    </row>
    <row r="2" spans="1:5" ht="58" customHeight="1" x14ac:dyDescent="0.2">
      <c r="A2" s="5" t="s">
        <v>3</v>
      </c>
      <c r="B2" s="6" t="s">
        <v>4</v>
      </c>
      <c r="C2" s="7">
        <v>1</v>
      </c>
      <c r="D2" s="3"/>
      <c r="E2" s="4"/>
    </row>
    <row r="3" spans="1:5" ht="43.5" customHeight="1" x14ac:dyDescent="0.2">
      <c r="A3" s="8" t="s">
        <v>5</v>
      </c>
      <c r="B3" s="9" t="s">
        <v>6</v>
      </c>
      <c r="C3" s="10">
        <v>2</v>
      </c>
      <c r="D3" s="3"/>
      <c r="E3" s="4"/>
    </row>
    <row r="4" spans="1:5" ht="29" customHeight="1" x14ac:dyDescent="0.2">
      <c r="A4" s="5" t="s">
        <v>7</v>
      </c>
      <c r="B4" s="6" t="s">
        <v>8</v>
      </c>
      <c r="C4" s="7">
        <v>2</v>
      </c>
      <c r="D4" s="3"/>
      <c r="E4" s="4"/>
    </row>
    <row r="5" spans="1:5" ht="29" customHeight="1" x14ac:dyDescent="0.2">
      <c r="A5" s="8" t="s">
        <v>9</v>
      </c>
      <c r="B5" s="9" t="s">
        <v>10</v>
      </c>
      <c r="C5" s="10">
        <v>2</v>
      </c>
      <c r="D5" s="3"/>
      <c r="E5" s="4"/>
    </row>
    <row r="6" spans="1:5" ht="29" customHeight="1" x14ac:dyDescent="0.2">
      <c r="A6" s="5" t="s">
        <v>11</v>
      </c>
      <c r="B6" s="6" t="s">
        <v>12</v>
      </c>
      <c r="C6" s="7">
        <v>2</v>
      </c>
      <c r="D6" s="3"/>
      <c r="E6" s="4"/>
    </row>
    <row r="7" spans="1:5" ht="29" customHeight="1" x14ac:dyDescent="0.2">
      <c r="A7" s="8" t="s">
        <v>13</v>
      </c>
      <c r="B7" s="9" t="s">
        <v>14</v>
      </c>
      <c r="C7" s="10">
        <v>3</v>
      </c>
      <c r="D7" s="3"/>
      <c r="E7" s="4"/>
    </row>
    <row r="8" spans="1:5" ht="101.5" customHeight="1" x14ac:dyDescent="0.2">
      <c r="A8" s="5" t="s">
        <v>15</v>
      </c>
      <c r="B8" s="6" t="s">
        <v>16</v>
      </c>
      <c r="C8" s="7">
        <v>3</v>
      </c>
      <c r="D8" s="3"/>
      <c r="E8" s="4"/>
    </row>
    <row r="9" spans="1:5" ht="13.5" customHeight="1" x14ac:dyDescent="0.2">
      <c r="A9" s="8" t="s">
        <v>17</v>
      </c>
      <c r="B9" s="11"/>
      <c r="C9" s="12"/>
      <c r="D9" s="3"/>
      <c r="E9" s="4"/>
    </row>
    <row r="10" spans="1:5" ht="13.5" customHeight="1" x14ac:dyDescent="0.2">
      <c r="A10" s="13"/>
      <c r="B10" s="13"/>
      <c r="C10" s="13"/>
      <c r="D10" s="4"/>
      <c r="E10" s="4"/>
    </row>
    <row r="11" spans="1:5" ht="13.5" customHeight="1" x14ac:dyDescent="0.2">
      <c r="A11" s="14"/>
      <c r="B11" s="4"/>
      <c r="C11" s="4"/>
      <c r="D11" s="4"/>
      <c r="E11" s="4"/>
    </row>
  </sheetData>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2"/>
  <sheetViews>
    <sheetView showGridLines="0" topLeftCell="C1" workbookViewId="0">
      <selection activeCell="L8" sqref="L8"/>
    </sheetView>
  </sheetViews>
  <sheetFormatPr baseColWidth="10" defaultColWidth="10.83203125" defaultRowHeight="14.5" customHeight="1" x14ac:dyDescent="0.2"/>
  <cols>
    <col min="1" max="2" width="10.83203125" style="1" hidden="1" customWidth="1"/>
    <col min="3" max="3" width="8.6640625" style="1" customWidth="1"/>
    <col min="4" max="4" width="65.6640625" style="1" customWidth="1"/>
    <col min="5" max="6" width="18.6640625" style="1" customWidth="1"/>
    <col min="7" max="10" width="14.6640625" style="1" customWidth="1"/>
    <col min="11" max="11" width="17.6640625" style="1" customWidth="1"/>
    <col min="12" max="12" width="16.6640625" style="1" customWidth="1"/>
    <col min="13" max="13" width="14.6640625" style="1" customWidth="1"/>
    <col min="14" max="14" width="16.6640625" style="1" customWidth="1"/>
    <col min="15" max="15" width="14.6640625" style="1" customWidth="1"/>
    <col min="16" max="23" width="20.6640625" style="1" customWidth="1"/>
    <col min="24" max="24" width="65.6640625" style="1" customWidth="1"/>
    <col min="25" max="25" width="10.83203125" style="1" customWidth="1"/>
    <col min="26" max="16384" width="10.83203125" style="1"/>
  </cols>
  <sheetData>
    <row r="1" spans="1:24" ht="116" customHeight="1" x14ac:dyDescent="0.2">
      <c r="A1" s="15" t="s">
        <v>18</v>
      </c>
      <c r="B1" s="15" t="s">
        <v>19</v>
      </c>
      <c r="C1" s="15" t="s">
        <v>20</v>
      </c>
      <c r="D1" s="15" t="s">
        <v>21</v>
      </c>
      <c r="E1" s="15" t="s">
        <v>22</v>
      </c>
      <c r="F1" s="15" t="s">
        <v>23</v>
      </c>
      <c r="G1" s="15" t="s">
        <v>24</v>
      </c>
      <c r="H1" s="16" t="s">
        <v>25</v>
      </c>
      <c r="I1" s="16" t="s">
        <v>26</v>
      </c>
      <c r="J1" s="16" t="s">
        <v>27</v>
      </c>
      <c r="K1" s="17" t="s">
        <v>28</v>
      </c>
      <c r="L1" s="17" t="s">
        <v>29</v>
      </c>
      <c r="M1" s="17" t="s">
        <v>30</v>
      </c>
      <c r="N1" s="18" t="s">
        <v>31</v>
      </c>
      <c r="O1" s="15" t="s">
        <v>32</v>
      </c>
      <c r="P1" s="2" t="s">
        <v>33</v>
      </c>
      <c r="Q1" s="2" t="s">
        <v>34</v>
      </c>
      <c r="R1" s="2" t="s">
        <v>35</v>
      </c>
      <c r="S1" s="2" t="s">
        <v>36</v>
      </c>
      <c r="T1" s="2" t="s">
        <v>37</v>
      </c>
      <c r="U1" s="2" t="s">
        <v>38</v>
      </c>
      <c r="V1" s="2" t="s">
        <v>39</v>
      </c>
      <c r="W1" s="2" t="s">
        <v>40</v>
      </c>
      <c r="X1" s="15" t="s">
        <v>41</v>
      </c>
    </row>
    <row r="2" spans="1:24" ht="13.5" customHeight="1" x14ac:dyDescent="0.2">
      <c r="A2" s="19" t="s">
        <v>42</v>
      </c>
      <c r="B2" s="19" t="s">
        <v>43</v>
      </c>
      <c r="C2" s="20">
        <v>1</v>
      </c>
      <c r="D2" s="19" t="s">
        <v>44</v>
      </c>
      <c r="E2" s="19" t="s">
        <v>45</v>
      </c>
      <c r="F2" s="21">
        <v>400000000</v>
      </c>
      <c r="G2" s="19" t="s">
        <v>46</v>
      </c>
      <c r="H2" s="21"/>
      <c r="I2" s="21"/>
      <c r="J2" s="21">
        <f t="shared" ref="J2:J10" si="0">H2+I2</f>
        <v>0</v>
      </c>
      <c r="K2" s="21"/>
      <c r="L2" s="21"/>
      <c r="M2" s="21">
        <f t="shared" ref="M2:M10" si="1">J2+K2+L2</f>
        <v>0</v>
      </c>
      <c r="N2" s="22"/>
      <c r="O2" s="19" t="str">
        <f>IF(AND(F2&gt;0,RM_uitgaven_en_ontvangsten!O2="ja"),J2/F2,"nvt")</f>
        <v>nvt</v>
      </c>
      <c r="P2" s="19" t="str">
        <f>IF(RM_uitgaven_en_ontvangsten!O2="ja",IF(J2=0,0,""),"nvt")</f>
        <v>nvt</v>
      </c>
      <c r="Q2" s="19" t="str">
        <f>IF(RM_uitgaven_en_ontvangsten!O2="ja",IF(J2=0,0,""),"nvt")</f>
        <v>nvt</v>
      </c>
      <c r="R2" s="19" t="str">
        <f>IF(RM_uitgaven_en_ontvangsten!O2="ja",IF(J2=0,0,""),"nvt")</f>
        <v>nvt</v>
      </c>
      <c r="S2" s="19" t="str">
        <f>IF(RM_uitgaven_en_ontvangsten!O2="ja",IF(J2=0,0,""),"nvt")</f>
        <v>nvt</v>
      </c>
      <c r="T2" s="19" t="str">
        <f>IF(RM_uitgaven_en_ontvangsten!O2="ja",IF(J2=0,0,""),"nvt")</f>
        <v>nvt</v>
      </c>
      <c r="U2" s="19" t="str">
        <f>IF(RM_uitgaven_en_ontvangsten!O2="ja",IF(J2=0,0,""),"nvt")</f>
        <v>nvt</v>
      </c>
      <c r="V2" s="19" t="str">
        <f>IF(RM_uitgaven_en_ontvangsten!O2="ja",IF(J2=0,0,""),"nvt")</f>
        <v>nvt</v>
      </c>
      <c r="W2" s="21">
        <f t="shared" ref="W2:W11" si="2">IFERROR((SUM(P2:V2)),"nvt")</f>
        <v>0</v>
      </c>
      <c r="X2" s="22"/>
    </row>
    <row r="3" spans="1:24" ht="13.5" customHeight="1" x14ac:dyDescent="0.2">
      <c r="A3" s="23" t="s">
        <v>42</v>
      </c>
      <c r="B3" s="23" t="s">
        <v>43</v>
      </c>
      <c r="C3" s="24">
        <v>2</v>
      </c>
      <c r="D3" s="23" t="s">
        <v>47</v>
      </c>
      <c r="E3" s="23" t="s">
        <v>45</v>
      </c>
      <c r="F3" s="25">
        <v>600000000</v>
      </c>
      <c r="G3" s="23" t="s">
        <v>48</v>
      </c>
      <c r="H3" s="25">
        <v>25000000</v>
      </c>
      <c r="I3" s="25">
        <v>30000000</v>
      </c>
      <c r="J3" s="25">
        <f t="shared" si="0"/>
        <v>55000000</v>
      </c>
      <c r="K3" s="25"/>
      <c r="L3" s="25">
        <v>10000000</v>
      </c>
      <c r="M3" s="25">
        <f t="shared" si="1"/>
        <v>65000000</v>
      </c>
      <c r="N3" s="26"/>
      <c r="O3" s="27">
        <f>IF(AND(F3&gt;0,RM_uitgaven_en_ontvangsten!O3="ja"),J3/F3,"nvt")</f>
        <v>9.166666666666666E-2</v>
      </c>
      <c r="P3" s="25">
        <v>0</v>
      </c>
      <c r="Q3" s="25">
        <v>50000000</v>
      </c>
      <c r="R3" s="25">
        <v>0</v>
      </c>
      <c r="S3" s="25">
        <v>0</v>
      </c>
      <c r="T3" s="25">
        <v>0</v>
      </c>
      <c r="U3" s="25">
        <v>0</v>
      </c>
      <c r="V3" s="25">
        <v>0</v>
      </c>
      <c r="W3" s="25">
        <f t="shared" si="2"/>
        <v>50000000</v>
      </c>
      <c r="X3" s="26"/>
    </row>
    <row r="4" spans="1:24" ht="13.5" customHeight="1" x14ac:dyDescent="0.2">
      <c r="A4" s="28" t="s">
        <v>42</v>
      </c>
      <c r="B4" s="28" t="s">
        <v>43</v>
      </c>
      <c r="C4" s="29">
        <v>6</v>
      </c>
      <c r="D4" s="28" t="s">
        <v>49</v>
      </c>
      <c r="E4" s="28" t="s">
        <v>45</v>
      </c>
      <c r="F4" s="30">
        <v>500000000</v>
      </c>
      <c r="G4" s="28" t="s">
        <v>46</v>
      </c>
      <c r="H4" s="30"/>
      <c r="I4" s="30"/>
      <c r="J4" s="30">
        <f t="shared" si="0"/>
        <v>0</v>
      </c>
      <c r="K4" s="30"/>
      <c r="L4" s="30"/>
      <c r="M4" s="30">
        <f t="shared" si="1"/>
        <v>0</v>
      </c>
      <c r="N4" s="31"/>
      <c r="O4" s="28" t="str">
        <f>IF(AND(F4&gt;0,RM_uitgaven_en_ontvangsten!O4="ja"),J4/F4,"nvt")</f>
        <v>nvt</v>
      </c>
      <c r="P4" s="28" t="str">
        <f>IF(RM_uitgaven_en_ontvangsten!O4="ja",IF(J4=0,0,""),"nvt")</f>
        <v>nvt</v>
      </c>
      <c r="Q4" s="28" t="str">
        <f>IF(RM_uitgaven_en_ontvangsten!O4="ja",IF(J4=0,0,""),"nvt")</f>
        <v>nvt</v>
      </c>
      <c r="R4" s="28" t="str">
        <f>IF(RM_uitgaven_en_ontvangsten!O4="ja",IF(J4=0,0,""),"nvt")</f>
        <v>nvt</v>
      </c>
      <c r="S4" s="28" t="str">
        <f>IF(RM_uitgaven_en_ontvangsten!O4="ja",IF(J4=0,0,""),"nvt")</f>
        <v>nvt</v>
      </c>
      <c r="T4" s="28" t="str">
        <f>IF(RM_uitgaven_en_ontvangsten!O4="ja",IF(J4=0,0,""),"nvt")</f>
        <v>nvt</v>
      </c>
      <c r="U4" s="28" t="str">
        <f>IF(RM_uitgaven_en_ontvangsten!O4="ja",IF(J4=0,0,""),"nvt")</f>
        <v>nvt</v>
      </c>
      <c r="V4" s="28" t="str">
        <f>IF(RM_uitgaven_en_ontvangsten!O4="ja",IF(J4=0,0,""),"nvt")</f>
        <v>nvt</v>
      </c>
      <c r="W4" s="30">
        <f t="shared" si="2"/>
        <v>0</v>
      </c>
      <c r="X4" s="28" t="s">
        <v>50</v>
      </c>
    </row>
    <row r="5" spans="1:24" ht="13.5" customHeight="1" x14ac:dyDescent="0.2">
      <c r="A5" s="32" t="s">
        <v>42</v>
      </c>
      <c r="B5" s="32" t="s">
        <v>43</v>
      </c>
      <c r="C5" s="33">
        <v>7</v>
      </c>
      <c r="D5" s="32" t="s">
        <v>51</v>
      </c>
      <c r="E5" s="32" t="s">
        <v>45</v>
      </c>
      <c r="F5" s="34">
        <v>40000000</v>
      </c>
      <c r="G5" s="32" t="s">
        <v>46</v>
      </c>
      <c r="H5" s="34"/>
      <c r="I5" s="34"/>
      <c r="J5" s="34">
        <f t="shared" si="0"/>
        <v>0</v>
      </c>
      <c r="K5" s="34"/>
      <c r="L5" s="34"/>
      <c r="M5" s="34">
        <f t="shared" si="1"/>
        <v>0</v>
      </c>
      <c r="N5" s="35"/>
      <c r="O5" s="32" t="str">
        <f>IF(AND(F5&gt;0,RM_uitgaven_en_ontvangsten!O5="ja"),J5/F5,"nvt")</f>
        <v>nvt</v>
      </c>
      <c r="P5" s="32" t="str">
        <f>IF(RM_uitgaven_en_ontvangsten!O5="ja",IF(J5=0,0,""),"nvt")</f>
        <v>nvt</v>
      </c>
      <c r="Q5" s="32" t="str">
        <f>IF(RM_uitgaven_en_ontvangsten!O5="ja",IF(J5=0,0,""),"nvt")</f>
        <v>nvt</v>
      </c>
      <c r="R5" s="32" t="str">
        <f>IF(RM_uitgaven_en_ontvangsten!O5="ja",IF(J5=0,0,""),"nvt")</f>
        <v>nvt</v>
      </c>
      <c r="S5" s="32" t="str">
        <f>IF(RM_uitgaven_en_ontvangsten!O5="ja",IF(J5=0,0,""),"nvt")</f>
        <v>nvt</v>
      </c>
      <c r="T5" s="32" t="str">
        <f>IF(RM_uitgaven_en_ontvangsten!O5="ja",IF(J5=0,0,""),"nvt")</f>
        <v>nvt</v>
      </c>
      <c r="U5" s="32" t="str">
        <f>IF(RM_uitgaven_en_ontvangsten!O5="ja",IF(J5=0,0,""),"nvt")</f>
        <v>nvt</v>
      </c>
      <c r="V5" s="32" t="str">
        <f>IF(RM_uitgaven_en_ontvangsten!O5="ja",IF(J5=0,0,""),"nvt")</f>
        <v>nvt</v>
      </c>
      <c r="W5" s="34">
        <f t="shared" si="2"/>
        <v>0</v>
      </c>
      <c r="X5" s="35"/>
    </row>
    <row r="6" spans="1:24" ht="13.5" customHeight="1" x14ac:dyDescent="0.2">
      <c r="A6" s="28" t="s">
        <v>42</v>
      </c>
      <c r="B6" s="28" t="s">
        <v>43</v>
      </c>
      <c r="C6" s="29">
        <v>14</v>
      </c>
      <c r="D6" s="28" t="s">
        <v>52</v>
      </c>
      <c r="E6" s="28" t="s">
        <v>45</v>
      </c>
      <c r="F6" s="30">
        <v>10000000</v>
      </c>
      <c r="G6" s="28" t="s">
        <v>46</v>
      </c>
      <c r="H6" s="30"/>
      <c r="I6" s="30"/>
      <c r="J6" s="30">
        <f t="shared" si="0"/>
        <v>0</v>
      </c>
      <c r="K6" s="30"/>
      <c r="L6" s="30"/>
      <c r="M6" s="30">
        <f t="shared" si="1"/>
        <v>0</v>
      </c>
      <c r="N6" s="31"/>
      <c r="O6" s="28" t="str">
        <f>IF(AND(F6&gt;0,RM_uitgaven_en_ontvangsten!O6="ja"),J6/F6,"nvt")</f>
        <v>nvt</v>
      </c>
      <c r="P6" s="28" t="str">
        <f>IF(RM_uitgaven_en_ontvangsten!O6="ja",IF(J6=0,0,""),"nvt")</f>
        <v>nvt</v>
      </c>
      <c r="Q6" s="28" t="str">
        <f>IF(RM_uitgaven_en_ontvangsten!O6="ja",IF(J6=0,0,""),"nvt")</f>
        <v>nvt</v>
      </c>
      <c r="R6" s="28" t="str">
        <f>IF(RM_uitgaven_en_ontvangsten!O6="ja",IF(J6=0,0,""),"nvt")</f>
        <v>nvt</v>
      </c>
      <c r="S6" s="28" t="str">
        <f>IF(RM_uitgaven_en_ontvangsten!O6="ja",IF(J6=0,0,""),"nvt")</f>
        <v>nvt</v>
      </c>
      <c r="T6" s="28" t="str">
        <f>IF(RM_uitgaven_en_ontvangsten!O6="ja",IF(J6=0,0,""),"nvt")</f>
        <v>nvt</v>
      </c>
      <c r="U6" s="28" t="str">
        <f>IF(RM_uitgaven_en_ontvangsten!O6="ja",IF(J6=0,0,""),"nvt")</f>
        <v>nvt</v>
      </c>
      <c r="V6" s="28" t="str">
        <f>IF(RM_uitgaven_en_ontvangsten!O6="ja",IF(J6=0,0,""),"nvt")</f>
        <v>nvt</v>
      </c>
      <c r="W6" s="30">
        <f t="shared" si="2"/>
        <v>0</v>
      </c>
      <c r="X6" s="31"/>
    </row>
    <row r="7" spans="1:24" ht="13.5" customHeight="1" x14ac:dyDescent="0.2">
      <c r="A7" s="32" t="s">
        <v>42</v>
      </c>
      <c r="B7" s="32" t="s">
        <v>43</v>
      </c>
      <c r="C7" s="33">
        <v>15</v>
      </c>
      <c r="D7" s="32" t="s">
        <v>53</v>
      </c>
      <c r="E7" s="32" t="s">
        <v>45</v>
      </c>
      <c r="F7" s="34">
        <v>150000000</v>
      </c>
      <c r="G7" s="32" t="s">
        <v>48</v>
      </c>
      <c r="H7" s="34"/>
      <c r="I7" s="34">
        <v>10000</v>
      </c>
      <c r="J7" s="34">
        <f t="shared" si="0"/>
        <v>10000</v>
      </c>
      <c r="K7" s="34"/>
      <c r="L7" s="34">
        <v>100000</v>
      </c>
      <c r="M7" s="34">
        <f t="shared" si="1"/>
        <v>110000</v>
      </c>
      <c r="N7" s="35"/>
      <c r="O7" s="32" t="str">
        <f>IF(AND(F7&gt;0,RM_uitgaven_en_ontvangsten!O7="ja"),J7/F7,"nvt")</f>
        <v>nvt</v>
      </c>
      <c r="P7" s="32" t="str">
        <f>IF(RM_uitgaven_en_ontvangsten!O7="ja",IF(J7=0,0,""),"nvt")</f>
        <v>nvt</v>
      </c>
      <c r="Q7" s="32" t="str">
        <f>IF(RM_uitgaven_en_ontvangsten!O7="ja",IF(J7=0,0,""),"nvt")</f>
        <v>nvt</v>
      </c>
      <c r="R7" s="32" t="str">
        <f>IF(RM_uitgaven_en_ontvangsten!O7="ja",IF(J7=0,0,""),"nvt")</f>
        <v>nvt</v>
      </c>
      <c r="S7" s="32" t="str">
        <f>IF(RM_uitgaven_en_ontvangsten!O7="ja",IF(J7=0,0,""),"nvt")</f>
        <v>nvt</v>
      </c>
      <c r="T7" s="32" t="str">
        <f>IF(RM_uitgaven_en_ontvangsten!O7="ja",IF(J7=0,0,""),"nvt")</f>
        <v>nvt</v>
      </c>
      <c r="U7" s="32" t="str">
        <f>IF(RM_uitgaven_en_ontvangsten!O7="ja",IF(J7=0,0,""),"nvt")</f>
        <v>nvt</v>
      </c>
      <c r="V7" s="32" t="str">
        <f>IF(RM_uitgaven_en_ontvangsten!O7="ja",IF(J7=0,0,""),"nvt")</f>
        <v>nvt</v>
      </c>
      <c r="W7" s="34">
        <f t="shared" si="2"/>
        <v>0</v>
      </c>
      <c r="X7" s="35"/>
    </row>
    <row r="8" spans="1:24" ht="13.5" customHeight="1" x14ac:dyDescent="0.2">
      <c r="A8" s="28" t="s">
        <v>42</v>
      </c>
      <c r="B8" s="28" t="s">
        <v>43</v>
      </c>
      <c r="C8" s="29">
        <v>11</v>
      </c>
      <c r="D8" s="28" t="s">
        <v>54</v>
      </c>
      <c r="E8" s="28" t="s">
        <v>55</v>
      </c>
      <c r="F8" s="30">
        <v>900000000</v>
      </c>
      <c r="G8" s="28" t="s">
        <v>46</v>
      </c>
      <c r="H8" s="30"/>
      <c r="I8" s="30"/>
      <c r="J8" s="30">
        <f t="shared" si="0"/>
        <v>0</v>
      </c>
      <c r="K8" s="30"/>
      <c r="L8" s="30"/>
      <c r="M8" s="30">
        <f t="shared" si="1"/>
        <v>0</v>
      </c>
      <c r="N8" s="31"/>
      <c r="O8" s="28" t="str">
        <f>IF(AND(F8&gt;0,RM_uitgaven_en_ontvangsten!O8="ja"),J8/F8,"nvt")</f>
        <v>nvt</v>
      </c>
      <c r="P8" s="28" t="str">
        <f>IF(RM_uitgaven_en_ontvangsten!O8="ja",IF(J8=0,0,""),"nvt")</f>
        <v>nvt</v>
      </c>
      <c r="Q8" s="28" t="str">
        <f>IF(RM_uitgaven_en_ontvangsten!O8="ja",IF(J8=0,0,""),"nvt")</f>
        <v>nvt</v>
      </c>
      <c r="R8" s="28" t="str">
        <f>IF(RM_uitgaven_en_ontvangsten!O8="ja",IF(J8=0,0,""),"nvt")</f>
        <v>nvt</v>
      </c>
      <c r="S8" s="28" t="str">
        <f>IF(RM_uitgaven_en_ontvangsten!O8="ja",IF(J8=0,0,""),"nvt")</f>
        <v>nvt</v>
      </c>
      <c r="T8" s="28" t="str">
        <f>IF(RM_uitgaven_en_ontvangsten!O8="ja",IF(J8=0,0,""),"nvt")</f>
        <v>nvt</v>
      </c>
      <c r="U8" s="28" t="str">
        <f>IF(RM_uitgaven_en_ontvangsten!O8="ja",IF(J8=0,0,""),"nvt")</f>
        <v>nvt</v>
      </c>
      <c r="V8" s="28" t="str">
        <f>IF(RM_uitgaven_en_ontvangsten!O8="ja",IF(J8=0,0,""),"nvt")</f>
        <v>nvt</v>
      </c>
      <c r="W8" s="30">
        <f t="shared" si="2"/>
        <v>0</v>
      </c>
      <c r="X8" s="31"/>
    </row>
    <row r="9" spans="1:24" ht="13.5" customHeight="1" x14ac:dyDescent="0.2">
      <c r="A9" s="32" t="s">
        <v>42</v>
      </c>
      <c r="B9" s="32" t="s">
        <v>43</v>
      </c>
      <c r="C9" s="33">
        <v>12</v>
      </c>
      <c r="D9" s="32" t="s">
        <v>56</v>
      </c>
      <c r="E9" s="32" t="s">
        <v>55</v>
      </c>
      <c r="F9" s="34">
        <v>88000000</v>
      </c>
      <c r="G9" s="32" t="s">
        <v>46</v>
      </c>
      <c r="H9" s="34"/>
      <c r="I9" s="34"/>
      <c r="J9" s="34">
        <f t="shared" si="0"/>
        <v>0</v>
      </c>
      <c r="K9" s="34"/>
      <c r="L9" s="34"/>
      <c r="M9" s="34">
        <f t="shared" si="1"/>
        <v>0</v>
      </c>
      <c r="N9" s="35"/>
      <c r="O9" s="32" t="str">
        <f>IF(AND(F9&gt;0,RM_uitgaven_en_ontvangsten!O9="ja"),J9/F9,"nvt")</f>
        <v>nvt</v>
      </c>
      <c r="P9" s="32" t="str">
        <f>IF(RM_uitgaven_en_ontvangsten!O9="ja",IF(J9=0,0,""),"nvt")</f>
        <v>nvt</v>
      </c>
      <c r="Q9" s="32" t="str">
        <f>IF(RM_uitgaven_en_ontvangsten!O9="ja",IF(J9=0,0,""),"nvt")</f>
        <v>nvt</v>
      </c>
      <c r="R9" s="32" t="str">
        <f>IF(RM_uitgaven_en_ontvangsten!O9="ja",IF(J9=0,0,""),"nvt")</f>
        <v>nvt</v>
      </c>
      <c r="S9" s="32" t="str">
        <f>IF(RM_uitgaven_en_ontvangsten!O9="ja",IF(J9=0,0,""),"nvt")</f>
        <v>nvt</v>
      </c>
      <c r="T9" s="32" t="str">
        <f>IF(RM_uitgaven_en_ontvangsten!O9="ja",IF(J9=0,0,""),"nvt")</f>
        <v>nvt</v>
      </c>
      <c r="U9" s="32" t="str">
        <f>IF(RM_uitgaven_en_ontvangsten!O9="ja",IF(J9=0,0,""),"nvt")</f>
        <v>nvt</v>
      </c>
      <c r="V9" s="32" t="str">
        <f>IF(RM_uitgaven_en_ontvangsten!O9="ja",IF(J9=0,0,""),"nvt")</f>
        <v>nvt</v>
      </c>
      <c r="W9" s="34">
        <f t="shared" si="2"/>
        <v>0</v>
      </c>
      <c r="X9" s="35"/>
    </row>
    <row r="10" spans="1:24" ht="13.5" customHeight="1" x14ac:dyDescent="0.2">
      <c r="A10" s="36" t="s">
        <v>42</v>
      </c>
      <c r="B10" s="36" t="s">
        <v>43</v>
      </c>
      <c r="C10" s="37">
        <v>13</v>
      </c>
      <c r="D10" s="36" t="s">
        <v>57</v>
      </c>
      <c r="E10" s="36" t="s">
        <v>55</v>
      </c>
      <c r="F10" s="38"/>
      <c r="G10" s="39"/>
      <c r="H10" s="38"/>
      <c r="I10" s="38"/>
      <c r="J10" s="38">
        <f t="shared" si="0"/>
        <v>0</v>
      </c>
      <c r="K10" s="38"/>
      <c r="L10" s="38"/>
      <c r="M10" s="38">
        <f t="shared" si="1"/>
        <v>0</v>
      </c>
      <c r="N10" s="39"/>
      <c r="O10" s="36" t="str">
        <f>IF(AND(F10&gt;0,RM_uitgaven_en_ontvangsten!O10="ja"),J10/F10,"nvt")</f>
        <v>nvt</v>
      </c>
      <c r="P10" s="36" t="str">
        <f>IF(RM_uitgaven_en_ontvangsten!O10="ja",IF(J10=0,0,""),"nvt")</f>
        <v>nvt</v>
      </c>
      <c r="Q10" s="36" t="str">
        <f>IF(RM_uitgaven_en_ontvangsten!O10="ja",IF(J10=0,0,""),"nvt")</f>
        <v>nvt</v>
      </c>
      <c r="R10" s="36" t="str">
        <f>IF(RM_uitgaven_en_ontvangsten!O10="ja",IF(J10=0,0,""),"nvt")</f>
        <v>nvt</v>
      </c>
      <c r="S10" s="36" t="str">
        <f>IF(RM_uitgaven_en_ontvangsten!O10="ja",IF(J10=0,0,""),"nvt")</f>
        <v>nvt</v>
      </c>
      <c r="T10" s="36" t="str">
        <f>IF(RM_uitgaven_en_ontvangsten!O10="ja",IF(J10=0,0,""),"nvt")</f>
        <v>nvt</v>
      </c>
      <c r="U10" s="36" t="str">
        <f>IF(RM_uitgaven_en_ontvangsten!O10="ja",IF(J10=0,0,""),"nvt")</f>
        <v>nvt</v>
      </c>
      <c r="V10" s="36" t="str">
        <f>IF(RM_uitgaven_en_ontvangsten!O10="ja",IF(J10=0,0,""),"nvt")</f>
        <v>nvt</v>
      </c>
      <c r="W10" s="38">
        <f t="shared" si="2"/>
        <v>0</v>
      </c>
      <c r="X10" s="39"/>
    </row>
    <row r="11" spans="1:24" ht="13.5" customHeight="1" x14ac:dyDescent="0.2">
      <c r="A11" s="40" t="s">
        <v>42</v>
      </c>
      <c r="B11" s="40" t="s">
        <v>43</v>
      </c>
      <c r="C11" s="41"/>
      <c r="D11" s="42"/>
      <c r="E11" s="43" t="s">
        <v>58</v>
      </c>
      <c r="F11" s="44">
        <f>SUM(F2:F10)</f>
        <v>2688000000</v>
      </c>
      <c r="G11" s="43" t="str">
        <f>IF(COUNTIF(G2:G10,"ja")&gt;0,"ja","")</f>
        <v>ja</v>
      </c>
      <c r="H11" s="44">
        <f>SUM(H2:H10)</f>
        <v>25000000</v>
      </c>
      <c r="I11" s="44">
        <f>SUM(I2:I10)</f>
        <v>30010000</v>
      </c>
      <c r="J11" s="44">
        <f>SUM(J2:J10)</f>
        <v>55010000</v>
      </c>
      <c r="K11" s="44">
        <f>IF(SUM(K2:K10)&gt;0,"Bereken optelling handmatig",0)</f>
        <v>0</v>
      </c>
      <c r="L11" s="44" t="str">
        <f>IF(SUM(L2:L10)&gt;0,"Bereken optelling handmatig",0)</f>
        <v>Bereken optelling handmatig</v>
      </c>
      <c r="M11" s="44">
        <f>IFERROR(J11+K11+L11,J11)</f>
        <v>55010000</v>
      </c>
      <c r="N11" s="45"/>
      <c r="O11" s="44">
        <f>IF(AND(F11&gt;0,RM_uitgaven_en_ontvangsten!O11="ja"),J11/F11,"nvt")</f>
        <v>2.0465029761904761E-2</v>
      </c>
      <c r="P11" s="44">
        <f t="shared" ref="P11:V11" si="3">SUM(P2:P10)</f>
        <v>0</v>
      </c>
      <c r="Q11" s="44">
        <f t="shared" si="3"/>
        <v>50000000</v>
      </c>
      <c r="R11" s="44">
        <f t="shared" si="3"/>
        <v>0</v>
      </c>
      <c r="S11" s="44">
        <f t="shared" si="3"/>
        <v>0</v>
      </c>
      <c r="T11" s="44">
        <f t="shared" si="3"/>
        <v>0</v>
      </c>
      <c r="U11" s="44">
        <f t="shared" si="3"/>
        <v>0</v>
      </c>
      <c r="V11" s="44">
        <f t="shared" si="3"/>
        <v>0</v>
      </c>
      <c r="W11" s="44">
        <f t="shared" si="2"/>
        <v>50000000</v>
      </c>
      <c r="X11" s="45"/>
    </row>
    <row r="12" spans="1:24" ht="13.5" customHeight="1" x14ac:dyDescent="0.2">
      <c r="A12" s="46"/>
      <c r="B12" s="46"/>
      <c r="C12" s="46"/>
      <c r="D12" s="46"/>
      <c r="E12" s="41"/>
      <c r="F12" s="41"/>
      <c r="G12" s="41"/>
      <c r="H12" s="41"/>
      <c r="I12" s="41"/>
      <c r="J12" s="41"/>
      <c r="K12" s="41"/>
      <c r="L12" s="41"/>
      <c r="M12" s="41"/>
      <c r="N12" s="41"/>
      <c r="O12" s="41"/>
      <c r="P12" s="41"/>
      <c r="Q12" s="41"/>
      <c r="R12" s="41"/>
      <c r="S12" s="41"/>
      <c r="T12" s="41"/>
      <c r="U12" s="41"/>
      <c r="V12" s="41"/>
      <c r="W12" s="41"/>
      <c r="X12" s="41"/>
    </row>
  </sheetData>
  <dataValidations count="1">
    <dataValidation type="list" allowBlank="1" showInputMessage="1" showErrorMessage="1" sqref="G2:G10 N2:N11" xr:uid="{00000000-0002-0000-0100-000000000000}">
      <formula1>"ja,nee"</formula1>
    </dataValidation>
  </dataValidation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2"/>
  <sheetViews>
    <sheetView showGridLines="0" topLeftCell="C1" workbookViewId="0">
      <selection activeCell="D24" sqref="D24"/>
    </sheetView>
  </sheetViews>
  <sheetFormatPr baseColWidth="10" defaultColWidth="10.83203125" defaultRowHeight="14.5" customHeight="1" x14ac:dyDescent="0.2"/>
  <cols>
    <col min="1" max="2" width="10.83203125" style="1" hidden="1" customWidth="1"/>
    <col min="3" max="3" width="8.6640625" style="1" customWidth="1"/>
    <col min="4" max="4" width="65.6640625" style="1" customWidth="1"/>
    <col min="5" max="6" width="18.6640625" style="1" customWidth="1"/>
    <col min="7" max="10" width="14.6640625" style="1" customWidth="1"/>
    <col min="11" max="11" width="17.6640625" style="1" customWidth="1"/>
    <col min="12" max="12" width="16.6640625" style="1" customWidth="1"/>
    <col min="13" max="13" width="14.6640625" style="1" customWidth="1"/>
    <col min="14" max="14" width="16.6640625" style="1" customWidth="1"/>
    <col min="15" max="15" width="14.6640625" style="1" customWidth="1"/>
    <col min="16" max="23" width="20.6640625" style="1" customWidth="1"/>
    <col min="24" max="24" width="65.6640625" style="1" customWidth="1"/>
    <col min="25" max="25" width="10.83203125" style="1" customWidth="1"/>
    <col min="26" max="16384" width="10.83203125" style="1"/>
  </cols>
  <sheetData>
    <row r="1" spans="1:24" ht="116" customHeight="1" x14ac:dyDescent="0.2">
      <c r="A1" s="15" t="s">
        <v>18</v>
      </c>
      <c r="B1" s="15" t="s">
        <v>19</v>
      </c>
      <c r="C1" s="15" t="s">
        <v>20</v>
      </c>
      <c r="D1" s="15" t="s">
        <v>21</v>
      </c>
      <c r="E1" s="15" t="s">
        <v>22</v>
      </c>
      <c r="F1" s="15" t="s">
        <v>23</v>
      </c>
      <c r="G1" s="15" t="s">
        <v>24</v>
      </c>
      <c r="H1" s="16" t="s">
        <v>25</v>
      </c>
      <c r="I1" s="16" t="s">
        <v>26</v>
      </c>
      <c r="J1" s="16" t="s">
        <v>27</v>
      </c>
      <c r="K1" s="17" t="s">
        <v>28</v>
      </c>
      <c r="L1" s="17" t="s">
        <v>29</v>
      </c>
      <c r="M1" s="17" t="s">
        <v>30</v>
      </c>
      <c r="N1" s="18" t="s">
        <v>31</v>
      </c>
      <c r="O1" s="15" t="s">
        <v>32</v>
      </c>
      <c r="P1" s="2" t="s">
        <v>33</v>
      </c>
      <c r="Q1" s="2" t="s">
        <v>34</v>
      </c>
      <c r="R1" s="2" t="s">
        <v>35</v>
      </c>
      <c r="S1" s="2" t="s">
        <v>36</v>
      </c>
      <c r="T1" s="2" t="s">
        <v>37</v>
      </c>
      <c r="U1" s="2" t="s">
        <v>38</v>
      </c>
      <c r="V1" s="2" t="s">
        <v>39</v>
      </c>
      <c r="W1" s="2" t="s">
        <v>40</v>
      </c>
      <c r="X1" s="15" t="s">
        <v>41</v>
      </c>
    </row>
    <row r="2" spans="1:24" ht="13.5" customHeight="1" x14ac:dyDescent="0.2">
      <c r="A2" s="19" t="s">
        <v>42</v>
      </c>
      <c r="B2" s="19" t="s">
        <v>43</v>
      </c>
      <c r="C2" s="20">
        <v>1</v>
      </c>
      <c r="D2" s="19" t="s">
        <v>44</v>
      </c>
      <c r="E2" s="19" t="s">
        <v>45</v>
      </c>
      <c r="F2" s="21">
        <v>5000000</v>
      </c>
      <c r="G2" s="19" t="s">
        <v>46</v>
      </c>
      <c r="H2" s="21"/>
      <c r="I2" s="21"/>
      <c r="J2" s="21">
        <f t="shared" ref="J2:J10" si="0">H2+I2</f>
        <v>0</v>
      </c>
      <c r="K2" s="21"/>
      <c r="L2" s="21"/>
      <c r="M2" s="21">
        <f t="shared" ref="M2:M10" si="1">J2+K2+L2</f>
        <v>0</v>
      </c>
      <c r="N2" s="22"/>
      <c r="O2" s="19" t="str">
        <f>IF(AND(F2&gt;0,RM_uitgaven_en_ontvangsten!O2="ja"),J2/F2,"nvt")</f>
        <v>nvt</v>
      </c>
      <c r="P2" s="19" t="str">
        <f>IF(RM_uitgaven_en_ontvangsten!O2="ja",IF(J2=0,0,""),"nvt")</f>
        <v>nvt</v>
      </c>
      <c r="Q2" s="19" t="str">
        <f>IF(RM_uitgaven_en_ontvangsten!O2="ja",IF(J2=0,0,""),"nvt")</f>
        <v>nvt</v>
      </c>
      <c r="R2" s="19" t="str">
        <f>IF(RM_uitgaven_en_ontvangsten!O2="ja",IF(J2=0,0,""),"nvt")</f>
        <v>nvt</v>
      </c>
      <c r="S2" s="19" t="str">
        <f>IF(RM_uitgaven_en_ontvangsten!O2="ja",IF(J2=0,0,""),"nvt")</f>
        <v>nvt</v>
      </c>
      <c r="T2" s="19" t="str">
        <f>IF(RM_uitgaven_en_ontvangsten!O2="ja",IF(J2=0,0,""),"nvt")</f>
        <v>nvt</v>
      </c>
      <c r="U2" s="19" t="str">
        <f>IF(RM_uitgaven_en_ontvangsten!O2="ja",IF(J2=0,0,""),"nvt")</f>
        <v>nvt</v>
      </c>
      <c r="V2" s="19" t="str">
        <f>IF(RM_uitgaven_en_ontvangsten!O2="ja",IF(J2=0,0,""),"nvt")</f>
        <v>nvt</v>
      </c>
      <c r="W2" s="21">
        <f t="shared" ref="W2:W11" si="2">IFERROR((SUM(P2:V2)),"nvt")</f>
        <v>0</v>
      </c>
      <c r="X2" s="22"/>
    </row>
    <row r="3" spans="1:24" ht="13.5" customHeight="1" x14ac:dyDescent="0.2">
      <c r="A3" s="23" t="s">
        <v>42</v>
      </c>
      <c r="B3" s="23" t="s">
        <v>43</v>
      </c>
      <c r="C3" s="24">
        <v>2</v>
      </c>
      <c r="D3" s="23" t="s">
        <v>47</v>
      </c>
      <c r="E3" s="23" t="s">
        <v>45</v>
      </c>
      <c r="F3" s="25">
        <v>10000000.15</v>
      </c>
      <c r="G3" s="23" t="s">
        <v>46</v>
      </c>
      <c r="H3" s="25"/>
      <c r="I3" s="25"/>
      <c r="J3" s="25">
        <f t="shared" si="0"/>
        <v>0</v>
      </c>
      <c r="K3" s="25"/>
      <c r="L3" s="25"/>
      <c r="M3" s="25">
        <f t="shared" si="1"/>
        <v>0</v>
      </c>
      <c r="N3" s="26"/>
      <c r="O3" s="27">
        <f>IF(AND(F3&gt;0,RM_uitgaven_en_ontvangsten!O3="ja"),J3/F3,"nvt")</f>
        <v>0</v>
      </c>
      <c r="P3" s="25">
        <f>IF(RM_uitgaven_en_ontvangsten!O3="ja",IF(J3=0,0,""),"nvt")</f>
        <v>0</v>
      </c>
      <c r="Q3" s="25">
        <f>IF(RM_uitgaven_en_ontvangsten!O3="ja",IF(J3=0,0,""),"nvt")</f>
        <v>0</v>
      </c>
      <c r="R3" s="25">
        <f>IF(RM_uitgaven_en_ontvangsten!O3="ja",IF(J3=0,0,""),"nvt")</f>
        <v>0</v>
      </c>
      <c r="S3" s="25">
        <f>IF(RM_uitgaven_en_ontvangsten!O3="ja",IF(J3=0,0,""),"nvt")</f>
        <v>0</v>
      </c>
      <c r="T3" s="25">
        <f>IF(RM_uitgaven_en_ontvangsten!O3="ja",IF(J3=0,0,""),"nvt")</f>
        <v>0</v>
      </c>
      <c r="U3" s="25">
        <f>IF(RM_uitgaven_en_ontvangsten!O3="ja",IF(J3=0,0,""),"nvt")</f>
        <v>0</v>
      </c>
      <c r="V3" s="25">
        <f>IF(RM_uitgaven_en_ontvangsten!O3="ja",IF(J3=0,0,""),"nvt")</f>
        <v>0</v>
      </c>
      <c r="W3" s="25">
        <f t="shared" si="2"/>
        <v>0</v>
      </c>
      <c r="X3" s="26"/>
    </row>
    <row r="4" spans="1:24" ht="13.5" customHeight="1" x14ac:dyDescent="0.2">
      <c r="A4" s="28" t="s">
        <v>42</v>
      </c>
      <c r="B4" s="28" t="s">
        <v>43</v>
      </c>
      <c r="C4" s="29">
        <v>6</v>
      </c>
      <c r="D4" s="28" t="s">
        <v>49</v>
      </c>
      <c r="E4" s="28" t="s">
        <v>45</v>
      </c>
      <c r="F4" s="30">
        <v>25000000</v>
      </c>
      <c r="G4" s="28" t="s">
        <v>48</v>
      </c>
      <c r="H4" s="30"/>
      <c r="I4" s="30">
        <v>150000</v>
      </c>
      <c r="J4" s="30">
        <f>H4+I4</f>
        <v>150000</v>
      </c>
      <c r="K4" s="30"/>
      <c r="L4" s="30"/>
      <c r="M4" s="30">
        <f t="shared" si="1"/>
        <v>150000</v>
      </c>
      <c r="N4" s="31"/>
      <c r="O4" s="28" t="str">
        <f>IF(AND(F4&gt;0,RM_uitgaven_en_ontvangsten!O4="ja"),J4/F4,"nvt")</f>
        <v>nvt</v>
      </c>
      <c r="P4" s="28" t="str">
        <f>IF(RM_uitgaven_en_ontvangsten!O4="ja",IF(J4=0,0,""),"nvt")</f>
        <v>nvt</v>
      </c>
      <c r="Q4" s="28" t="str">
        <f>IF(RM_uitgaven_en_ontvangsten!O4="ja",IF(J4=0,0,""),"nvt")</f>
        <v>nvt</v>
      </c>
      <c r="R4" s="28" t="str">
        <f>IF(RM_uitgaven_en_ontvangsten!O4="ja",IF(J4=0,0,""),"nvt")</f>
        <v>nvt</v>
      </c>
      <c r="S4" s="28" t="str">
        <f>IF(RM_uitgaven_en_ontvangsten!O4="ja",IF(J4=0,0,""),"nvt")</f>
        <v>nvt</v>
      </c>
      <c r="T4" s="28" t="str">
        <f>IF(RM_uitgaven_en_ontvangsten!O4="ja",IF(J4=0,0,""),"nvt")</f>
        <v>nvt</v>
      </c>
      <c r="U4" s="28" t="str">
        <f>IF(RM_uitgaven_en_ontvangsten!O4="ja",IF(J4=0,0,""),"nvt")</f>
        <v>nvt</v>
      </c>
      <c r="V4" s="28" t="str">
        <f>IF(RM_uitgaven_en_ontvangsten!O4="ja",IF(J4=0,0,""),"nvt")</f>
        <v>nvt</v>
      </c>
      <c r="W4" s="30">
        <f t="shared" si="2"/>
        <v>0</v>
      </c>
      <c r="X4" s="31"/>
    </row>
    <row r="5" spans="1:24" ht="13.5" customHeight="1" x14ac:dyDescent="0.2">
      <c r="A5" s="32" t="s">
        <v>42</v>
      </c>
      <c r="B5" s="32" t="s">
        <v>43</v>
      </c>
      <c r="C5" s="33">
        <v>7</v>
      </c>
      <c r="D5" s="32" t="s">
        <v>51</v>
      </c>
      <c r="E5" s="32" t="s">
        <v>45</v>
      </c>
      <c r="F5" s="34">
        <v>0</v>
      </c>
      <c r="G5" s="32" t="s">
        <v>46</v>
      </c>
      <c r="H5" s="34"/>
      <c r="I5" s="34"/>
      <c r="J5" s="34">
        <f t="shared" si="0"/>
        <v>0</v>
      </c>
      <c r="K5" s="34"/>
      <c r="L5" s="34"/>
      <c r="M5" s="34">
        <f t="shared" si="1"/>
        <v>0</v>
      </c>
      <c r="N5" s="32" t="s">
        <v>48</v>
      </c>
      <c r="O5" s="32" t="str">
        <f>IF(AND(F5&gt;0,RM_uitgaven_en_ontvangsten!O5="ja"),J5/F5,"nvt")</f>
        <v>nvt</v>
      </c>
      <c r="P5" s="32" t="str">
        <f>IF(RM_uitgaven_en_ontvangsten!O5="ja",IF(J5=0,0,""),"nvt")</f>
        <v>nvt</v>
      </c>
      <c r="Q5" s="32" t="str">
        <f>IF(RM_uitgaven_en_ontvangsten!O5="ja",IF(J5=0,0,""),"nvt")</f>
        <v>nvt</v>
      </c>
      <c r="R5" s="32" t="str">
        <f>IF(RM_uitgaven_en_ontvangsten!O5="ja",IF(J5=0,0,""),"nvt")</f>
        <v>nvt</v>
      </c>
      <c r="S5" s="32" t="str">
        <f>IF(RM_uitgaven_en_ontvangsten!O5="ja",IF(J5=0,0,""),"nvt")</f>
        <v>nvt</v>
      </c>
      <c r="T5" s="32" t="str">
        <f>IF(RM_uitgaven_en_ontvangsten!O5="ja",IF(J5=0,0,""),"nvt")</f>
        <v>nvt</v>
      </c>
      <c r="U5" s="32" t="str">
        <f>IF(RM_uitgaven_en_ontvangsten!O5="ja",IF(J5=0,0,""),"nvt")</f>
        <v>nvt</v>
      </c>
      <c r="V5" s="32" t="str">
        <f>IF(RM_uitgaven_en_ontvangsten!O5="ja",IF(J5=0,0,""),"nvt")</f>
        <v>nvt</v>
      </c>
      <c r="W5" s="34">
        <f t="shared" si="2"/>
        <v>0</v>
      </c>
      <c r="X5" s="35"/>
    </row>
    <row r="6" spans="1:24" ht="13.5" customHeight="1" x14ac:dyDescent="0.2">
      <c r="A6" s="28" t="s">
        <v>42</v>
      </c>
      <c r="B6" s="28" t="s">
        <v>43</v>
      </c>
      <c r="C6" s="29">
        <v>14</v>
      </c>
      <c r="D6" s="28" t="s">
        <v>52</v>
      </c>
      <c r="E6" s="28" t="s">
        <v>45</v>
      </c>
      <c r="F6" s="30">
        <v>0</v>
      </c>
      <c r="G6" s="28" t="s">
        <v>46</v>
      </c>
      <c r="H6" s="30"/>
      <c r="I6" s="30"/>
      <c r="J6" s="30">
        <f t="shared" si="0"/>
        <v>0</v>
      </c>
      <c r="K6" s="30"/>
      <c r="L6" s="30"/>
      <c r="M6" s="30">
        <f t="shared" si="1"/>
        <v>0</v>
      </c>
      <c r="N6" s="31"/>
      <c r="O6" s="28" t="str">
        <f>IF(AND(F6&gt;0,RM_uitgaven_en_ontvangsten!O6="ja"),J6/F6,"nvt")</f>
        <v>nvt</v>
      </c>
      <c r="P6" s="28" t="str">
        <f>IF(RM_uitgaven_en_ontvangsten!O6="ja",IF(J6=0,0,""),"nvt")</f>
        <v>nvt</v>
      </c>
      <c r="Q6" s="28" t="str">
        <f>IF(RM_uitgaven_en_ontvangsten!O6="ja",IF(J6=0,0,""),"nvt")</f>
        <v>nvt</v>
      </c>
      <c r="R6" s="28" t="str">
        <f>IF(RM_uitgaven_en_ontvangsten!O6="ja",IF(J6=0,0,""),"nvt")</f>
        <v>nvt</v>
      </c>
      <c r="S6" s="28" t="str">
        <f>IF(RM_uitgaven_en_ontvangsten!O6="ja",IF(J6=0,0,""),"nvt")</f>
        <v>nvt</v>
      </c>
      <c r="T6" s="28" t="str">
        <f>IF(RM_uitgaven_en_ontvangsten!O6="ja",IF(J6=0,0,""),"nvt")</f>
        <v>nvt</v>
      </c>
      <c r="U6" s="28" t="str">
        <f>IF(RM_uitgaven_en_ontvangsten!O6="ja",IF(J6=0,0,""),"nvt")</f>
        <v>nvt</v>
      </c>
      <c r="V6" s="28" t="str">
        <f>IF(RM_uitgaven_en_ontvangsten!O6="ja",IF(J6=0,0,""),"nvt")</f>
        <v>nvt</v>
      </c>
      <c r="W6" s="30">
        <f t="shared" si="2"/>
        <v>0</v>
      </c>
      <c r="X6" s="31"/>
    </row>
    <row r="7" spans="1:24" ht="13.5" customHeight="1" x14ac:dyDescent="0.2">
      <c r="A7" s="32" t="s">
        <v>42</v>
      </c>
      <c r="B7" s="32" t="s">
        <v>43</v>
      </c>
      <c r="C7" s="33">
        <v>15</v>
      </c>
      <c r="D7" s="32" t="s">
        <v>53</v>
      </c>
      <c r="E7" s="32" t="s">
        <v>45</v>
      </c>
      <c r="F7" s="34">
        <v>0</v>
      </c>
      <c r="G7" s="32" t="s">
        <v>46</v>
      </c>
      <c r="H7" s="34"/>
      <c r="I7" s="34"/>
      <c r="J7" s="34">
        <f t="shared" si="0"/>
        <v>0</v>
      </c>
      <c r="K7" s="34"/>
      <c r="L7" s="34"/>
      <c r="M7" s="34">
        <f t="shared" si="1"/>
        <v>0</v>
      </c>
      <c r="N7" s="35"/>
      <c r="O7" s="32" t="str">
        <f>IF(AND(F7&gt;0,RM_uitgaven_en_ontvangsten!O7="ja"),J7/F7,"nvt")</f>
        <v>nvt</v>
      </c>
      <c r="P7" s="32" t="str">
        <f>IF(RM_uitgaven_en_ontvangsten!O7="ja",IF(J7=0,0,""),"nvt")</f>
        <v>nvt</v>
      </c>
      <c r="Q7" s="32" t="str">
        <f>IF(RM_uitgaven_en_ontvangsten!O7="ja",IF(J7=0,0,""),"nvt")</f>
        <v>nvt</v>
      </c>
      <c r="R7" s="32" t="str">
        <f>IF(RM_uitgaven_en_ontvangsten!O7="ja",IF(J7=0,0,""),"nvt")</f>
        <v>nvt</v>
      </c>
      <c r="S7" s="32" t="str">
        <f>IF(RM_uitgaven_en_ontvangsten!O7="ja",IF(J7=0,0,""),"nvt")</f>
        <v>nvt</v>
      </c>
      <c r="T7" s="32" t="str">
        <f>IF(RM_uitgaven_en_ontvangsten!O7="ja",IF(J7=0,0,""),"nvt")</f>
        <v>nvt</v>
      </c>
      <c r="U7" s="32" t="str">
        <f>IF(RM_uitgaven_en_ontvangsten!O7="ja",IF(J7=0,0,""),"nvt")</f>
        <v>nvt</v>
      </c>
      <c r="V7" s="32" t="str">
        <f>IF(RM_uitgaven_en_ontvangsten!O7="ja",IF(J7=0,0,""),"nvt")</f>
        <v>nvt</v>
      </c>
      <c r="W7" s="34">
        <f t="shared" si="2"/>
        <v>0</v>
      </c>
      <c r="X7" s="35"/>
    </row>
    <row r="8" spans="1:24" ht="13.5" customHeight="1" x14ac:dyDescent="0.2">
      <c r="A8" s="28" t="s">
        <v>42</v>
      </c>
      <c r="B8" s="28" t="s">
        <v>43</v>
      </c>
      <c r="C8" s="29">
        <v>11</v>
      </c>
      <c r="D8" s="28" t="s">
        <v>54</v>
      </c>
      <c r="E8" s="28" t="s">
        <v>55</v>
      </c>
      <c r="F8" s="31"/>
      <c r="G8" s="28" t="s">
        <v>46</v>
      </c>
      <c r="H8" s="30"/>
      <c r="I8" s="30"/>
      <c r="J8" s="30">
        <f t="shared" si="0"/>
        <v>0</v>
      </c>
      <c r="K8" s="30"/>
      <c r="L8" s="30"/>
      <c r="M8" s="30">
        <f t="shared" si="1"/>
        <v>0</v>
      </c>
      <c r="N8" s="31"/>
      <c r="O8" s="28" t="str">
        <f>IF(AND(F8&gt;0,RM_uitgaven_en_ontvangsten!O8="ja"),J8/F8,"nvt")</f>
        <v>nvt</v>
      </c>
      <c r="P8" s="28" t="str">
        <f>IF(RM_uitgaven_en_ontvangsten!O8="ja",IF(J8=0,0,""),"nvt")</f>
        <v>nvt</v>
      </c>
      <c r="Q8" s="28" t="str">
        <f>IF(RM_uitgaven_en_ontvangsten!O8="ja",IF(J8=0,0,""),"nvt")</f>
        <v>nvt</v>
      </c>
      <c r="R8" s="28" t="str">
        <f>IF(RM_uitgaven_en_ontvangsten!O8="ja",IF(J8=0,0,""),"nvt")</f>
        <v>nvt</v>
      </c>
      <c r="S8" s="28" t="str">
        <f>IF(RM_uitgaven_en_ontvangsten!O8="ja",IF(J8=0,0,""),"nvt")</f>
        <v>nvt</v>
      </c>
      <c r="T8" s="28" t="str">
        <f>IF(RM_uitgaven_en_ontvangsten!O8="ja",IF(J8=0,0,""),"nvt")</f>
        <v>nvt</v>
      </c>
      <c r="U8" s="28" t="str">
        <f>IF(RM_uitgaven_en_ontvangsten!O8="ja",IF(J8=0,0,""),"nvt")</f>
        <v>nvt</v>
      </c>
      <c r="V8" s="28" t="str">
        <f>IF(RM_uitgaven_en_ontvangsten!O8="ja",IF(J8=0,0,""),"nvt")</f>
        <v>nvt</v>
      </c>
      <c r="W8" s="30">
        <f t="shared" si="2"/>
        <v>0</v>
      </c>
      <c r="X8" s="31"/>
    </row>
    <row r="9" spans="1:24" ht="13.5" customHeight="1" x14ac:dyDescent="0.2">
      <c r="A9" s="32" t="s">
        <v>42</v>
      </c>
      <c r="B9" s="32" t="s">
        <v>43</v>
      </c>
      <c r="C9" s="33">
        <v>12</v>
      </c>
      <c r="D9" s="32" t="s">
        <v>56</v>
      </c>
      <c r="E9" s="32" t="s">
        <v>55</v>
      </c>
      <c r="F9" s="35"/>
      <c r="G9" s="32" t="s">
        <v>46</v>
      </c>
      <c r="H9" s="34"/>
      <c r="I9" s="34"/>
      <c r="J9" s="34">
        <f t="shared" si="0"/>
        <v>0</v>
      </c>
      <c r="K9" s="34"/>
      <c r="L9" s="34"/>
      <c r="M9" s="34">
        <f t="shared" si="1"/>
        <v>0</v>
      </c>
      <c r="N9" s="35"/>
      <c r="O9" s="32" t="str">
        <f>IF(AND(F9&gt;0,RM_uitgaven_en_ontvangsten!O9="ja"),J9/F9,"nvt")</f>
        <v>nvt</v>
      </c>
      <c r="P9" s="32" t="str">
        <f>IF(RM_uitgaven_en_ontvangsten!O9="ja",IF(J9=0,0,""),"nvt")</f>
        <v>nvt</v>
      </c>
      <c r="Q9" s="32" t="str">
        <f>IF(RM_uitgaven_en_ontvangsten!O9="ja",IF(J9=0,0,""),"nvt")</f>
        <v>nvt</v>
      </c>
      <c r="R9" s="32" t="str">
        <f>IF(RM_uitgaven_en_ontvangsten!O9="ja",IF(J9=0,0,""),"nvt")</f>
        <v>nvt</v>
      </c>
      <c r="S9" s="32" t="str">
        <f>IF(RM_uitgaven_en_ontvangsten!O9="ja",IF(J9=0,0,""),"nvt")</f>
        <v>nvt</v>
      </c>
      <c r="T9" s="32" t="str">
        <f>IF(RM_uitgaven_en_ontvangsten!O9="ja",IF(J9=0,0,""),"nvt")</f>
        <v>nvt</v>
      </c>
      <c r="U9" s="32" t="str">
        <f>IF(RM_uitgaven_en_ontvangsten!O9="ja",IF(J9=0,0,""),"nvt")</f>
        <v>nvt</v>
      </c>
      <c r="V9" s="32" t="str">
        <f>IF(RM_uitgaven_en_ontvangsten!O9="ja",IF(J9=0,0,""),"nvt")</f>
        <v>nvt</v>
      </c>
      <c r="W9" s="34">
        <f t="shared" si="2"/>
        <v>0</v>
      </c>
      <c r="X9" s="35"/>
    </row>
    <row r="10" spans="1:24" ht="13.5" customHeight="1" x14ac:dyDescent="0.2">
      <c r="A10" s="36" t="s">
        <v>42</v>
      </c>
      <c r="B10" s="36" t="s">
        <v>43</v>
      </c>
      <c r="C10" s="37">
        <v>13</v>
      </c>
      <c r="D10" s="36" t="s">
        <v>57</v>
      </c>
      <c r="E10" s="36" t="s">
        <v>55</v>
      </c>
      <c r="F10" s="38">
        <v>55000000</v>
      </c>
      <c r="G10" s="36" t="s">
        <v>46</v>
      </c>
      <c r="H10" s="38"/>
      <c r="I10" s="38"/>
      <c r="J10" s="38">
        <f t="shared" si="0"/>
        <v>0</v>
      </c>
      <c r="K10" s="38"/>
      <c r="L10" s="38"/>
      <c r="M10" s="38">
        <f t="shared" si="1"/>
        <v>0</v>
      </c>
      <c r="N10" s="39"/>
      <c r="O10" s="36" t="str">
        <f>IF(AND(F10&gt;0,RM_uitgaven_en_ontvangsten!O10="ja"),J10/F10,"nvt")</f>
        <v>nvt</v>
      </c>
      <c r="P10" s="36" t="str">
        <f>IF(RM_uitgaven_en_ontvangsten!O10="ja",IF(J10=0,0,""),"nvt")</f>
        <v>nvt</v>
      </c>
      <c r="Q10" s="36" t="str">
        <f>IF(RM_uitgaven_en_ontvangsten!O10="ja",IF(J10=0,0,""),"nvt")</f>
        <v>nvt</v>
      </c>
      <c r="R10" s="36" t="str">
        <f>IF(RM_uitgaven_en_ontvangsten!O10="ja",IF(J10=0,0,""),"nvt")</f>
        <v>nvt</v>
      </c>
      <c r="S10" s="36" t="str">
        <f>IF(RM_uitgaven_en_ontvangsten!O10="ja",IF(J10=0,0,""),"nvt")</f>
        <v>nvt</v>
      </c>
      <c r="T10" s="36" t="str">
        <f>IF(RM_uitgaven_en_ontvangsten!O10="ja",IF(J10=0,0,""),"nvt")</f>
        <v>nvt</v>
      </c>
      <c r="U10" s="36" t="str">
        <f>IF(RM_uitgaven_en_ontvangsten!O10="ja",IF(J10=0,0,""),"nvt")</f>
        <v>nvt</v>
      </c>
      <c r="V10" s="36" t="str">
        <f>IF(RM_uitgaven_en_ontvangsten!O10="ja",IF(J10=0,0,""),"nvt")</f>
        <v>nvt</v>
      </c>
      <c r="W10" s="38">
        <f t="shared" si="2"/>
        <v>0</v>
      </c>
      <c r="X10" s="39"/>
    </row>
    <row r="11" spans="1:24" ht="13.5" customHeight="1" x14ac:dyDescent="0.2">
      <c r="A11" s="40" t="s">
        <v>42</v>
      </c>
      <c r="B11" s="40" t="s">
        <v>43</v>
      </c>
      <c r="C11" s="41"/>
      <c r="D11" s="42"/>
      <c r="E11" s="43" t="s">
        <v>58</v>
      </c>
      <c r="F11" s="44">
        <f>SUM(F2:F10)</f>
        <v>95000000.150000006</v>
      </c>
      <c r="G11" s="43" t="str">
        <f>IF(COUNTIF(G2:G10,"ja")&gt;0,"ja","")</f>
        <v>ja</v>
      </c>
      <c r="H11" s="44">
        <f>SUM(H2:H10)</f>
        <v>0</v>
      </c>
      <c r="I11" s="44">
        <f>SUM(I2:I10)</f>
        <v>150000</v>
      </c>
      <c r="J11" s="44">
        <f>SUM(J2:J10)</f>
        <v>150000</v>
      </c>
      <c r="K11" s="44">
        <f>IF(SUM(K2:K10)&gt;0,"Bereken optelling handmatig",0)</f>
        <v>0</v>
      </c>
      <c r="L11" s="44">
        <f>IF(SUM(L2:L10)&gt;0,"Bereken optelling handmatig",0)</f>
        <v>0</v>
      </c>
      <c r="M11" s="44">
        <f>IFERROR(J11+K11+L11,J11)</f>
        <v>150000</v>
      </c>
      <c r="N11" s="45"/>
      <c r="O11" s="44">
        <f>IF(AND(F11&gt;0,RM_uitgaven_en_ontvangsten!O11="ja"),J11/F11,"nvt")</f>
        <v>1.5789473659279778E-3</v>
      </c>
      <c r="P11" s="44">
        <f t="shared" ref="P11:V11" si="3">SUM(P2:P10)</f>
        <v>0</v>
      </c>
      <c r="Q11" s="44">
        <f t="shared" si="3"/>
        <v>0</v>
      </c>
      <c r="R11" s="44">
        <f t="shared" si="3"/>
        <v>0</v>
      </c>
      <c r="S11" s="44">
        <f t="shared" si="3"/>
        <v>0</v>
      </c>
      <c r="T11" s="44">
        <f t="shared" si="3"/>
        <v>0</v>
      </c>
      <c r="U11" s="44">
        <f t="shared" si="3"/>
        <v>0</v>
      </c>
      <c r="V11" s="44">
        <f t="shared" si="3"/>
        <v>0</v>
      </c>
      <c r="W11" s="44">
        <f t="shared" si="2"/>
        <v>0</v>
      </c>
      <c r="X11" s="45"/>
    </row>
    <row r="12" spans="1:24" ht="13.5" customHeight="1" x14ac:dyDescent="0.2">
      <c r="A12" s="46"/>
      <c r="B12" s="46"/>
      <c r="C12" s="46"/>
      <c r="D12" s="46"/>
      <c r="E12" s="41"/>
      <c r="F12" s="41"/>
      <c r="G12" s="41"/>
      <c r="H12" s="41"/>
      <c r="I12" s="41"/>
      <c r="J12" s="41"/>
      <c r="K12" s="41"/>
      <c r="L12" s="41"/>
      <c r="M12" s="41"/>
      <c r="N12" s="41"/>
      <c r="O12" s="41"/>
      <c r="P12" s="41"/>
      <c r="Q12" s="41"/>
      <c r="R12" s="41"/>
      <c r="S12" s="41"/>
      <c r="T12" s="41"/>
      <c r="U12" s="41"/>
      <c r="V12" s="41"/>
      <c r="W12" s="41"/>
      <c r="X12" s="41"/>
    </row>
  </sheetData>
  <dataValidations count="1">
    <dataValidation type="list" allowBlank="1" showInputMessage="1" showErrorMessage="1" sqref="G2:G10 N2:N11" xr:uid="{00000000-0002-0000-0200-000000000000}">
      <formula1>"ja,nee"</formula1>
    </dataValidation>
  </dataValidation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2"/>
  <sheetViews>
    <sheetView showGridLines="0" tabSelected="1" topLeftCell="C1" workbookViewId="0">
      <selection activeCell="O24" sqref="O24"/>
    </sheetView>
  </sheetViews>
  <sheetFormatPr baseColWidth="10" defaultColWidth="10.83203125" defaultRowHeight="14.5" customHeight="1" x14ac:dyDescent="0.2"/>
  <cols>
    <col min="1" max="2" width="10.83203125" style="1" hidden="1" customWidth="1"/>
    <col min="3" max="3" width="8.6640625" style="1" customWidth="1"/>
    <col min="4" max="4" width="65.6640625" style="1" customWidth="1"/>
    <col min="5" max="6" width="18.6640625" style="1" customWidth="1"/>
    <col min="7" max="11" width="14.6640625" style="1" customWidth="1"/>
    <col min="12" max="12" width="17.6640625" style="1" customWidth="1"/>
    <col min="13" max="13" width="16.6640625" style="1" customWidth="1"/>
    <col min="14" max="15" width="14.6640625" style="1" customWidth="1"/>
    <col min="16" max="16" width="16.6640625" style="1" customWidth="1"/>
    <col min="17" max="17" width="14.6640625" style="1" customWidth="1"/>
    <col min="18" max="25" width="20.6640625" style="1" customWidth="1"/>
    <col min="26" max="26" width="65.6640625" style="1" customWidth="1"/>
    <col min="27" max="27" width="10.83203125" style="1" customWidth="1"/>
    <col min="28" max="16384" width="10.83203125" style="1"/>
  </cols>
  <sheetData>
    <row r="1" spans="1:26" ht="116" customHeight="1" x14ac:dyDescent="0.2">
      <c r="A1" s="15" t="s">
        <v>18</v>
      </c>
      <c r="B1" s="15" t="s">
        <v>19</v>
      </c>
      <c r="C1" s="15" t="s">
        <v>20</v>
      </c>
      <c r="D1" s="15" t="s">
        <v>21</v>
      </c>
      <c r="E1" s="15" t="s">
        <v>22</v>
      </c>
      <c r="F1" s="15" t="s">
        <v>23</v>
      </c>
      <c r="G1" s="47" t="s">
        <v>59</v>
      </c>
      <c r="H1" s="15" t="s">
        <v>24</v>
      </c>
      <c r="I1" s="16" t="s">
        <v>25</v>
      </c>
      <c r="J1" s="16" t="s">
        <v>26</v>
      </c>
      <c r="K1" s="16" t="s">
        <v>27</v>
      </c>
      <c r="L1" s="17" t="s">
        <v>28</v>
      </c>
      <c r="M1" s="17" t="s">
        <v>29</v>
      </c>
      <c r="N1" s="17" t="s">
        <v>30</v>
      </c>
      <c r="O1" s="47" t="s">
        <v>60</v>
      </c>
      <c r="P1" s="18" t="s">
        <v>31</v>
      </c>
      <c r="Q1" s="15" t="s">
        <v>32</v>
      </c>
      <c r="R1" s="2" t="s">
        <v>33</v>
      </c>
      <c r="S1" s="2" t="s">
        <v>34</v>
      </c>
      <c r="T1" s="2" t="s">
        <v>35</v>
      </c>
      <c r="U1" s="2" t="s">
        <v>36</v>
      </c>
      <c r="V1" s="2" t="s">
        <v>37</v>
      </c>
      <c r="W1" s="2" t="s">
        <v>38</v>
      </c>
      <c r="X1" s="2" t="s">
        <v>39</v>
      </c>
      <c r="Y1" s="2" t="s">
        <v>40</v>
      </c>
      <c r="Z1" s="15" t="s">
        <v>41</v>
      </c>
    </row>
    <row r="2" spans="1:26" ht="13.5" customHeight="1" x14ac:dyDescent="0.2">
      <c r="A2" s="19" t="s">
        <v>42</v>
      </c>
      <c r="B2" s="19" t="s">
        <v>43</v>
      </c>
      <c r="C2" s="20">
        <v>1</v>
      </c>
      <c r="D2" s="19" t="s">
        <v>44</v>
      </c>
      <c r="E2" s="19" t="s">
        <v>45</v>
      </c>
      <c r="F2" s="21">
        <f>RM_uitgaven!F2+RM_ontvangsten!F2</f>
        <v>405000000</v>
      </c>
      <c r="G2" s="21">
        <f t="shared" ref="G2:G10" si="0">IF(F2&lt;=250000000,0.1*F2,IF(AND(F2&gt;250000000,F2&lt;=500000000),25000000,0.05*F2))</f>
        <v>25000000</v>
      </c>
      <c r="H2" s="22"/>
      <c r="I2" s="21">
        <f>RM_uitgaven!H2+RM_ontvangsten!H2</f>
        <v>0</v>
      </c>
      <c r="J2" s="21">
        <f>RM_uitgaven!I2+RM_ontvangsten!I2</f>
        <v>0</v>
      </c>
      <c r="K2" s="21">
        <f t="shared" ref="K2:K10" si="1">I2+J2</f>
        <v>0</v>
      </c>
      <c r="L2" s="21">
        <f>RM_uitgaven!K2+RM_ontvangsten!K2</f>
        <v>0</v>
      </c>
      <c r="M2" s="21">
        <f>RM_uitgaven!L2+RM_ontvangsten!L2</f>
        <v>0</v>
      </c>
      <c r="N2" s="21">
        <f t="shared" ref="N2:N10" si="2">K2+L2+M2</f>
        <v>0</v>
      </c>
      <c r="O2" s="19" t="str">
        <f t="shared" ref="O2:O11" si="3">IF(AND(N2&gt;G2,H2="ja"),"ja",IF(K2&gt;G2,"ja","nee"))</f>
        <v>nee</v>
      </c>
      <c r="P2" s="19" t="s">
        <v>46</v>
      </c>
      <c r="Q2" s="19" t="str">
        <f t="shared" ref="Q2:Q11" si="4">IF(AND(F2&gt;0,O2="ja"),K2/F2,"nvt")</f>
        <v>nvt</v>
      </c>
      <c r="R2" s="19" t="str">
        <f>IF(O2="ja",IFERROR(RM_uitgaven!P2+RM_ontvangsten!P2,"Vul in op U &amp; O"),"nvt")</f>
        <v>nvt</v>
      </c>
      <c r="S2" s="19" t="str">
        <f>IF(O2="ja",IFERROR(RM_uitgaven!Q2+RM_ontvangsten!Q2,"Vul in op U &amp; O"),"nvt")</f>
        <v>nvt</v>
      </c>
      <c r="T2" s="19" t="str">
        <f>IF(O2="ja",IFERROR(RM_uitgaven!R2+RM_ontvangsten!R2,"Vul in op U &amp; O"),"nvt")</f>
        <v>nvt</v>
      </c>
      <c r="U2" s="19" t="str">
        <f>IF(O2="ja",IFERROR(RM_uitgaven!S2+RM_ontvangsten!S2,"Vul in op U &amp; O"),"nvt")</f>
        <v>nvt</v>
      </c>
      <c r="V2" s="19" t="str">
        <f>IF(O2="ja",IFERROR(RM_uitgaven!T2+RM_ontvangsten!T2,"Vul in op U &amp; O"),"nvt")</f>
        <v>nvt</v>
      </c>
      <c r="W2" s="19" t="str">
        <f>IF(O2="ja",IFERROR(RM_uitgaven!U2+RM_ontvangsten!U2,"Vul in op U &amp; O"),"nvt")</f>
        <v>nvt</v>
      </c>
      <c r="X2" s="19" t="str">
        <f>IF(O2="ja",IFERROR(RM_uitgaven!V2+RM_ontvangsten!V2,"Vul in op U &amp; O"),"nvt")</f>
        <v>nvt</v>
      </c>
      <c r="Y2" s="21">
        <f t="shared" ref="Y2:Y11" si="5">IFERROR((SUM(R2:X2)),"nvt")</f>
        <v>0</v>
      </c>
      <c r="Z2" s="22"/>
    </row>
    <row r="3" spans="1:26" ht="13.5" customHeight="1" x14ac:dyDescent="0.2">
      <c r="A3" s="23" t="s">
        <v>42</v>
      </c>
      <c r="B3" s="23" t="s">
        <v>43</v>
      </c>
      <c r="C3" s="24">
        <v>2</v>
      </c>
      <c r="D3" s="23" t="s">
        <v>47</v>
      </c>
      <c r="E3" s="23" t="s">
        <v>45</v>
      </c>
      <c r="F3" s="25">
        <f>RM_uitgaven!F3+RM_ontvangsten!F3</f>
        <v>610000000.14999998</v>
      </c>
      <c r="G3" s="25">
        <f t="shared" si="0"/>
        <v>30500000.0075</v>
      </c>
      <c r="H3" s="26" t="s">
        <v>48</v>
      </c>
      <c r="I3" s="25">
        <f>RM_uitgaven!H3+RM_ontvangsten!H3</f>
        <v>25000000</v>
      </c>
      <c r="J3" s="25">
        <f>RM_uitgaven!I3+RM_ontvangsten!I3</f>
        <v>30000000</v>
      </c>
      <c r="K3" s="25">
        <f t="shared" si="1"/>
        <v>55000000</v>
      </c>
      <c r="L3" s="25">
        <f>RM_uitgaven!K3+RM_ontvangsten!K3</f>
        <v>0</v>
      </c>
      <c r="M3" s="25">
        <f>RM_uitgaven!L3+RM_ontvangsten!L3</f>
        <v>10000000</v>
      </c>
      <c r="N3" s="25">
        <f t="shared" si="2"/>
        <v>65000000</v>
      </c>
      <c r="O3" s="19" t="str">
        <f t="shared" si="3"/>
        <v>ja</v>
      </c>
      <c r="P3" s="23" t="s">
        <v>46</v>
      </c>
      <c r="Q3" s="27">
        <f t="shared" si="4"/>
        <v>9.0163934404058052E-2</v>
      </c>
      <c r="R3" s="25">
        <f>IF(O3="ja",IFERROR(RM_uitgaven!P3+RM_ontvangsten!P3,"Vul in op U &amp; O"),"nvt")</f>
        <v>0</v>
      </c>
      <c r="S3" s="25">
        <f>IF(O3="ja",IFERROR(RM_uitgaven!Q3+RM_ontvangsten!Q3,"Vul in op U &amp; O"),"nvt")</f>
        <v>50000000</v>
      </c>
      <c r="T3" s="25">
        <f>IF(O3="ja",IFERROR(RM_uitgaven!R3+RM_ontvangsten!R3,"Vul in op U &amp; O"),"nvt")</f>
        <v>0</v>
      </c>
      <c r="U3" s="25">
        <f>IF(O3="ja",IFERROR(RM_uitgaven!S3+RM_ontvangsten!S3,"Vul in op U &amp; O"),"nvt")</f>
        <v>0</v>
      </c>
      <c r="V3" s="25">
        <f>IF(O3="ja",IFERROR(RM_uitgaven!T3+RM_ontvangsten!T3,"Vul in op U &amp; O"),"nvt")</f>
        <v>0</v>
      </c>
      <c r="W3" s="25">
        <f>IF(O3="ja",IFERROR(RM_uitgaven!U3+RM_ontvangsten!U3,"Vul in op U &amp; O"),"nvt")</f>
        <v>0</v>
      </c>
      <c r="X3" s="25">
        <f>IF(O3="ja",IFERROR(RM_uitgaven!V3+RM_ontvangsten!V3,"Vul in op U &amp; O"),"nvt")</f>
        <v>0</v>
      </c>
      <c r="Y3" s="25">
        <f t="shared" si="5"/>
        <v>50000000</v>
      </c>
      <c r="Z3" s="26"/>
    </row>
    <row r="4" spans="1:26" ht="13.5" customHeight="1" x14ac:dyDescent="0.2">
      <c r="A4" s="28" t="s">
        <v>42</v>
      </c>
      <c r="B4" s="28" t="s">
        <v>43</v>
      </c>
      <c r="C4" s="29">
        <v>6</v>
      </c>
      <c r="D4" s="28" t="s">
        <v>49</v>
      </c>
      <c r="E4" s="28" t="s">
        <v>45</v>
      </c>
      <c r="F4" s="30">
        <f>RM_uitgaven!F4+RM_ontvangsten!F4</f>
        <v>525000000</v>
      </c>
      <c r="G4" s="30">
        <f t="shared" si="0"/>
        <v>26250000</v>
      </c>
      <c r="H4" s="31" t="s">
        <v>48</v>
      </c>
      <c r="I4" s="30">
        <f>RM_uitgaven!H4+RM_ontvangsten!H4</f>
        <v>0</v>
      </c>
      <c r="J4" s="30">
        <f>RM_uitgaven!I4+RM_ontvangsten!I4</f>
        <v>150000</v>
      </c>
      <c r="K4" s="30">
        <f t="shared" si="1"/>
        <v>150000</v>
      </c>
      <c r="L4" s="30">
        <f>RM_uitgaven!K4+RM_ontvangsten!K4</f>
        <v>0</v>
      </c>
      <c r="M4" s="30">
        <f>RM_uitgaven!L4+RM_ontvangsten!L4</f>
        <v>0</v>
      </c>
      <c r="N4" s="30">
        <f t="shared" si="2"/>
        <v>150000</v>
      </c>
      <c r="O4" s="28" t="str">
        <f t="shared" si="3"/>
        <v>nee</v>
      </c>
      <c r="P4" s="28" t="s">
        <v>48</v>
      </c>
      <c r="Q4" s="28" t="str">
        <f t="shared" si="4"/>
        <v>nvt</v>
      </c>
      <c r="R4" s="28" t="str">
        <f>IF(O4="ja",IFERROR(RM_uitgaven!P4+RM_ontvangsten!P4,"Vul in op U &amp; O"),"nvt")</f>
        <v>nvt</v>
      </c>
      <c r="S4" s="28" t="str">
        <f>IF(O4="ja",IFERROR(RM_uitgaven!Q4+RM_ontvangsten!Q4,"Vul in op U &amp; O"),"nvt")</f>
        <v>nvt</v>
      </c>
      <c r="T4" s="28" t="str">
        <f>IF(O4="ja",IFERROR(RM_uitgaven!R4+RM_ontvangsten!R4,"Vul in op U &amp; O"),"nvt")</f>
        <v>nvt</v>
      </c>
      <c r="U4" s="28" t="str">
        <f>IF(O4="ja",IFERROR(RM_uitgaven!S4+RM_ontvangsten!S4,"Vul in op U &amp; O"),"nvt")</f>
        <v>nvt</v>
      </c>
      <c r="V4" s="28" t="str">
        <f>IF(O4="ja",IFERROR(RM_uitgaven!T4+RM_ontvangsten!T4,"Vul in op U &amp; O"),"nvt")</f>
        <v>nvt</v>
      </c>
      <c r="W4" s="28" t="str">
        <f>IF(O4="ja",IFERROR(RM_uitgaven!U4+RM_ontvangsten!U4,"Vul in op U &amp; O"),"nvt")</f>
        <v>nvt</v>
      </c>
      <c r="X4" s="28" t="str">
        <f>IF(O4="ja",IFERROR(RM_uitgaven!V4+RM_ontvangsten!V4,"Vul in op U &amp; O"),"nvt")</f>
        <v>nvt</v>
      </c>
      <c r="Y4" s="30">
        <f t="shared" si="5"/>
        <v>0</v>
      </c>
      <c r="Z4" s="31"/>
    </row>
    <row r="5" spans="1:26" ht="13.5" customHeight="1" x14ac:dyDescent="0.2">
      <c r="A5" s="32" t="s">
        <v>42</v>
      </c>
      <c r="B5" s="32" t="s">
        <v>43</v>
      </c>
      <c r="C5" s="33">
        <v>7</v>
      </c>
      <c r="D5" s="32" t="s">
        <v>51</v>
      </c>
      <c r="E5" s="32" t="s">
        <v>45</v>
      </c>
      <c r="F5" s="34">
        <f>RM_uitgaven!F5+RM_ontvangsten!F5</f>
        <v>40000000</v>
      </c>
      <c r="G5" s="34">
        <f t="shared" si="0"/>
        <v>4000000</v>
      </c>
      <c r="H5" s="35"/>
      <c r="I5" s="34">
        <f>RM_uitgaven!H5+RM_ontvangsten!H5</f>
        <v>0</v>
      </c>
      <c r="J5" s="34">
        <f>RM_uitgaven!I5+RM_ontvangsten!I5</f>
        <v>0</v>
      </c>
      <c r="K5" s="34">
        <f t="shared" si="1"/>
        <v>0</v>
      </c>
      <c r="L5" s="34">
        <f>RM_uitgaven!K5+RM_ontvangsten!K5</f>
        <v>0</v>
      </c>
      <c r="M5" s="34">
        <f>RM_uitgaven!L5+RM_ontvangsten!L5</f>
        <v>0</v>
      </c>
      <c r="N5" s="34">
        <f t="shared" si="2"/>
        <v>0</v>
      </c>
      <c r="O5" s="32" t="str">
        <f t="shared" si="3"/>
        <v>nee</v>
      </c>
      <c r="P5" s="32" t="s">
        <v>48</v>
      </c>
      <c r="Q5" s="32" t="str">
        <f t="shared" si="4"/>
        <v>nvt</v>
      </c>
      <c r="R5" s="32" t="str">
        <f>IF(O5="ja",IFERROR(RM_uitgaven!P5+RM_ontvangsten!P5,"Vul in op U &amp; O"),"nvt")</f>
        <v>nvt</v>
      </c>
      <c r="S5" s="32" t="str">
        <f>IF(O5="ja",IFERROR(RM_uitgaven!Q5+RM_ontvangsten!Q5,"Vul in op U &amp; O"),"nvt")</f>
        <v>nvt</v>
      </c>
      <c r="T5" s="32" t="str">
        <f>IF(O5="ja",IFERROR(RM_uitgaven!R5+RM_ontvangsten!R5,"Vul in op U &amp; O"),"nvt")</f>
        <v>nvt</v>
      </c>
      <c r="U5" s="32" t="str">
        <f>IF(O5="ja",IFERROR(RM_uitgaven!S5+RM_ontvangsten!S5,"Vul in op U &amp; O"),"nvt")</f>
        <v>nvt</v>
      </c>
      <c r="V5" s="32" t="str">
        <f>IF(O5="ja",IFERROR(RM_uitgaven!T5+RM_ontvangsten!T5,"Vul in op U &amp; O"),"nvt")</f>
        <v>nvt</v>
      </c>
      <c r="W5" s="32" t="str">
        <f>IF(O5="ja",IFERROR(RM_uitgaven!U5+RM_ontvangsten!U5,"Vul in op U &amp; O"),"nvt")</f>
        <v>nvt</v>
      </c>
      <c r="X5" s="32" t="str">
        <f>IF(O5="ja",IFERROR(RM_uitgaven!V5+RM_ontvangsten!V5,"Vul in op U &amp; O"),"nvt")</f>
        <v>nvt</v>
      </c>
      <c r="Y5" s="34">
        <f t="shared" si="5"/>
        <v>0</v>
      </c>
      <c r="Z5" s="35"/>
    </row>
    <row r="6" spans="1:26" ht="13.5" customHeight="1" x14ac:dyDescent="0.2">
      <c r="A6" s="28" t="s">
        <v>42</v>
      </c>
      <c r="B6" s="28" t="s">
        <v>43</v>
      </c>
      <c r="C6" s="29">
        <v>14</v>
      </c>
      <c r="D6" s="28" t="s">
        <v>52</v>
      </c>
      <c r="E6" s="28" t="s">
        <v>45</v>
      </c>
      <c r="F6" s="30">
        <f>RM_uitgaven!F6+RM_ontvangsten!F6</f>
        <v>10000000</v>
      </c>
      <c r="G6" s="30">
        <f t="shared" si="0"/>
        <v>1000000</v>
      </c>
      <c r="H6" s="31"/>
      <c r="I6" s="30">
        <f>RM_uitgaven!H6+RM_ontvangsten!H6</f>
        <v>0</v>
      </c>
      <c r="J6" s="30">
        <f>RM_uitgaven!I6+RM_ontvangsten!I6</f>
        <v>0</v>
      </c>
      <c r="K6" s="30">
        <f t="shared" si="1"/>
        <v>0</v>
      </c>
      <c r="L6" s="30">
        <f>RM_uitgaven!K6+RM_ontvangsten!K6</f>
        <v>0</v>
      </c>
      <c r="M6" s="30">
        <f>RM_uitgaven!L6+RM_ontvangsten!L6</f>
        <v>0</v>
      </c>
      <c r="N6" s="30">
        <f t="shared" si="2"/>
        <v>0</v>
      </c>
      <c r="O6" s="28" t="str">
        <f t="shared" si="3"/>
        <v>nee</v>
      </c>
      <c r="P6" s="28" t="s">
        <v>46</v>
      </c>
      <c r="Q6" s="28" t="str">
        <f t="shared" si="4"/>
        <v>nvt</v>
      </c>
      <c r="R6" s="28" t="str">
        <f>IF(O6="ja",IFERROR(RM_uitgaven!P6+RM_ontvangsten!P6,"Vul in op U &amp; O"),"nvt")</f>
        <v>nvt</v>
      </c>
      <c r="S6" s="28" t="str">
        <f>IF(O6="ja",IFERROR(RM_uitgaven!Q6+RM_ontvangsten!Q6,"Vul in op U &amp; O"),"nvt")</f>
        <v>nvt</v>
      </c>
      <c r="T6" s="28" t="str">
        <f>IF(O6="ja",IFERROR(RM_uitgaven!R6+RM_ontvangsten!R6,"Vul in op U &amp; O"),"nvt")</f>
        <v>nvt</v>
      </c>
      <c r="U6" s="28" t="str">
        <f>IF(O6="ja",IFERROR(RM_uitgaven!S6+RM_ontvangsten!S6,"Vul in op U &amp; O"),"nvt")</f>
        <v>nvt</v>
      </c>
      <c r="V6" s="28" t="str">
        <f>IF(O6="ja",IFERROR(RM_uitgaven!T6+RM_ontvangsten!T6,"Vul in op U &amp; O"),"nvt")</f>
        <v>nvt</v>
      </c>
      <c r="W6" s="28" t="str">
        <f>IF(O6="ja",IFERROR(RM_uitgaven!U6+RM_ontvangsten!U6,"Vul in op U &amp; O"),"nvt")</f>
        <v>nvt</v>
      </c>
      <c r="X6" s="28" t="str">
        <f>IF(O6="ja",IFERROR(RM_uitgaven!V6+RM_ontvangsten!V6,"Vul in op U &amp; O"),"nvt")</f>
        <v>nvt</v>
      </c>
      <c r="Y6" s="30">
        <f t="shared" si="5"/>
        <v>0</v>
      </c>
      <c r="Z6" s="31"/>
    </row>
    <row r="7" spans="1:26" ht="13.5" customHeight="1" x14ac:dyDescent="0.2">
      <c r="A7" s="32" t="s">
        <v>42</v>
      </c>
      <c r="B7" s="32" t="s">
        <v>43</v>
      </c>
      <c r="C7" s="33">
        <v>15</v>
      </c>
      <c r="D7" s="32" t="s">
        <v>53</v>
      </c>
      <c r="E7" s="32" t="s">
        <v>45</v>
      </c>
      <c r="F7" s="34">
        <f>RM_uitgaven!F7+RM_ontvangsten!F7</f>
        <v>150000000</v>
      </c>
      <c r="G7" s="34">
        <f t="shared" si="0"/>
        <v>15000000</v>
      </c>
      <c r="H7" s="35" t="s">
        <v>48</v>
      </c>
      <c r="I7" s="34">
        <f>RM_uitgaven!H7+RM_ontvangsten!H7</f>
        <v>0</v>
      </c>
      <c r="J7" s="34">
        <f>RM_uitgaven!I7+RM_ontvangsten!I7</f>
        <v>10000</v>
      </c>
      <c r="K7" s="34">
        <f t="shared" si="1"/>
        <v>10000</v>
      </c>
      <c r="L7" s="34">
        <f>RM_uitgaven!K7+RM_ontvangsten!K7</f>
        <v>0</v>
      </c>
      <c r="M7" s="34">
        <f>RM_uitgaven!L7+RM_ontvangsten!L7</f>
        <v>100000</v>
      </c>
      <c r="N7" s="34">
        <f t="shared" si="2"/>
        <v>110000</v>
      </c>
      <c r="O7" s="32" t="str">
        <f t="shared" si="3"/>
        <v>nee</v>
      </c>
      <c r="P7" s="35"/>
      <c r="Q7" s="32" t="str">
        <f t="shared" si="4"/>
        <v>nvt</v>
      </c>
      <c r="R7" s="32" t="str">
        <f>IF(O7="ja",IFERROR(RM_uitgaven!P7+RM_ontvangsten!P7,"Vul in op U &amp; O"),"nvt")</f>
        <v>nvt</v>
      </c>
      <c r="S7" s="32" t="str">
        <f>IF(O7="ja",IFERROR(RM_uitgaven!Q7+RM_ontvangsten!Q7,"Vul in op U &amp; O"),"nvt")</f>
        <v>nvt</v>
      </c>
      <c r="T7" s="32" t="str">
        <f>IF(O7="ja",IFERROR(RM_uitgaven!R7+RM_ontvangsten!R7,"Vul in op U &amp; O"),"nvt")</f>
        <v>nvt</v>
      </c>
      <c r="U7" s="32" t="str">
        <f>IF(O7="ja",IFERROR(RM_uitgaven!S7+RM_ontvangsten!S7,"Vul in op U &amp; O"),"nvt")</f>
        <v>nvt</v>
      </c>
      <c r="V7" s="32" t="str">
        <f>IF(O7="ja",IFERROR(RM_uitgaven!T7+RM_ontvangsten!T7,"Vul in op U &amp; O"),"nvt")</f>
        <v>nvt</v>
      </c>
      <c r="W7" s="32" t="str">
        <f>IF(O7="ja",IFERROR(RM_uitgaven!U7+RM_ontvangsten!U7,"Vul in op U &amp; O"),"nvt")</f>
        <v>nvt</v>
      </c>
      <c r="X7" s="32" t="str">
        <f>IF(O7="ja",IFERROR(RM_uitgaven!V7+RM_ontvangsten!V7,"Vul in op U &amp; O"),"nvt")</f>
        <v>nvt</v>
      </c>
      <c r="Y7" s="34">
        <f t="shared" si="5"/>
        <v>0</v>
      </c>
      <c r="Z7" s="35"/>
    </row>
    <row r="8" spans="1:26" ht="13.5" customHeight="1" x14ac:dyDescent="0.2">
      <c r="A8" s="28" t="s">
        <v>42</v>
      </c>
      <c r="B8" s="28" t="s">
        <v>43</v>
      </c>
      <c r="C8" s="29">
        <v>11</v>
      </c>
      <c r="D8" s="28" t="s">
        <v>54</v>
      </c>
      <c r="E8" s="28" t="s">
        <v>55</v>
      </c>
      <c r="F8" s="30">
        <f>RM_uitgaven!F8+RM_ontvangsten!F8</f>
        <v>900000000</v>
      </c>
      <c r="G8" s="30">
        <f t="shared" si="0"/>
        <v>45000000</v>
      </c>
      <c r="H8" s="31" t="s">
        <v>46</v>
      </c>
      <c r="I8" s="30">
        <f>RM_uitgaven!H8+RM_ontvangsten!H8</f>
        <v>0</v>
      </c>
      <c r="J8" s="30">
        <f>RM_uitgaven!I8+RM_ontvangsten!I8</f>
        <v>0</v>
      </c>
      <c r="K8" s="30">
        <f t="shared" si="1"/>
        <v>0</v>
      </c>
      <c r="L8" s="30">
        <f>RM_uitgaven!K8+RM_ontvangsten!K8</f>
        <v>0</v>
      </c>
      <c r="M8" s="30">
        <f>RM_uitgaven!L8+RM_ontvangsten!L8</f>
        <v>0</v>
      </c>
      <c r="N8" s="30">
        <f t="shared" si="2"/>
        <v>0</v>
      </c>
      <c r="O8" s="28" t="str">
        <f t="shared" si="3"/>
        <v>nee</v>
      </c>
      <c r="P8" s="28" t="s">
        <v>48</v>
      </c>
      <c r="Q8" s="28" t="str">
        <f t="shared" si="4"/>
        <v>nvt</v>
      </c>
      <c r="R8" s="28" t="str">
        <f>IF(O8="ja",IFERROR(RM_uitgaven!P8+RM_ontvangsten!P8,"Vul in op U &amp; O"),"nvt")</f>
        <v>nvt</v>
      </c>
      <c r="S8" s="28" t="str">
        <f>IF(O8="ja",IFERROR(RM_uitgaven!Q8+RM_ontvangsten!Q8,"Vul in op U &amp; O"),"nvt")</f>
        <v>nvt</v>
      </c>
      <c r="T8" s="28" t="str">
        <f>IF(O8="ja",IFERROR(RM_uitgaven!R8+RM_ontvangsten!R8,"Vul in op U &amp; O"),"nvt")</f>
        <v>nvt</v>
      </c>
      <c r="U8" s="28" t="str">
        <f>IF(O8="ja",IFERROR(RM_uitgaven!S8+RM_ontvangsten!S8,"Vul in op U &amp; O"),"nvt")</f>
        <v>nvt</v>
      </c>
      <c r="V8" s="28" t="str">
        <f>IF(O8="ja",IFERROR(RM_uitgaven!T8+RM_ontvangsten!T8,"Vul in op U &amp; O"),"nvt")</f>
        <v>nvt</v>
      </c>
      <c r="W8" s="28" t="str">
        <f>IF(O8="ja",IFERROR(RM_uitgaven!U8+RM_ontvangsten!U8,"Vul in op U &amp; O"),"nvt")</f>
        <v>nvt</v>
      </c>
      <c r="X8" s="28" t="str">
        <f>IF(O8="ja",IFERROR(RM_uitgaven!V8+RM_ontvangsten!V8,"Vul in op U &amp; O"),"nvt")</f>
        <v>nvt</v>
      </c>
      <c r="Y8" s="30">
        <f t="shared" si="5"/>
        <v>0</v>
      </c>
      <c r="Z8" s="31"/>
    </row>
    <row r="9" spans="1:26" ht="13.5" customHeight="1" x14ac:dyDescent="0.2">
      <c r="A9" s="32" t="s">
        <v>42</v>
      </c>
      <c r="B9" s="32" t="s">
        <v>43</v>
      </c>
      <c r="C9" s="33">
        <v>12</v>
      </c>
      <c r="D9" s="32" t="s">
        <v>56</v>
      </c>
      <c r="E9" s="32" t="s">
        <v>55</v>
      </c>
      <c r="F9" s="34">
        <f>RM_uitgaven!F9+RM_ontvangsten!F9</f>
        <v>88000000</v>
      </c>
      <c r="G9" s="34">
        <f t="shared" si="0"/>
        <v>8800000</v>
      </c>
      <c r="H9" s="35" t="s">
        <v>46</v>
      </c>
      <c r="I9" s="34">
        <f>RM_uitgaven!H9+RM_ontvangsten!H9</f>
        <v>0</v>
      </c>
      <c r="J9" s="34">
        <f>RM_uitgaven!I9+RM_ontvangsten!I9</f>
        <v>0</v>
      </c>
      <c r="K9" s="34">
        <f t="shared" si="1"/>
        <v>0</v>
      </c>
      <c r="L9" s="34">
        <f>RM_uitgaven!K9+RM_ontvangsten!K9</f>
        <v>0</v>
      </c>
      <c r="M9" s="34">
        <f>RM_uitgaven!L9+RM_ontvangsten!L9</f>
        <v>0</v>
      </c>
      <c r="N9" s="34">
        <f t="shared" si="2"/>
        <v>0</v>
      </c>
      <c r="O9" s="32" t="str">
        <f t="shared" si="3"/>
        <v>nee</v>
      </c>
      <c r="P9" s="35"/>
      <c r="Q9" s="32" t="str">
        <f t="shared" si="4"/>
        <v>nvt</v>
      </c>
      <c r="R9" s="32" t="str">
        <f>IF(O9="ja",IFERROR(RM_uitgaven!P9+RM_ontvangsten!P9,"Vul in op U &amp; O"),"nvt")</f>
        <v>nvt</v>
      </c>
      <c r="S9" s="32" t="str">
        <f>IF(O9="ja",IFERROR(RM_uitgaven!Q9+RM_ontvangsten!Q9,"Vul in op U &amp; O"),"nvt")</f>
        <v>nvt</v>
      </c>
      <c r="T9" s="32" t="str">
        <f>IF(O9="ja",IFERROR(RM_uitgaven!R9+RM_ontvangsten!R9,"Vul in op U &amp; O"),"nvt")</f>
        <v>nvt</v>
      </c>
      <c r="U9" s="32" t="str">
        <f>IF(O9="ja",IFERROR(RM_uitgaven!S9+RM_ontvangsten!S9,"Vul in op U &amp; O"),"nvt")</f>
        <v>nvt</v>
      </c>
      <c r="V9" s="32" t="str">
        <f>IF(O9="ja",IFERROR(RM_uitgaven!T9+RM_ontvangsten!T9,"Vul in op U &amp; O"),"nvt")</f>
        <v>nvt</v>
      </c>
      <c r="W9" s="32" t="str">
        <f>IF(O9="ja",IFERROR(RM_uitgaven!U9+RM_ontvangsten!U9,"Vul in op U &amp; O"),"nvt")</f>
        <v>nvt</v>
      </c>
      <c r="X9" s="32" t="str">
        <f>IF(O9="ja",IFERROR(RM_uitgaven!V9+RM_ontvangsten!V9,"Vul in op U &amp; O"),"nvt")</f>
        <v>nvt</v>
      </c>
      <c r="Y9" s="34">
        <f t="shared" si="5"/>
        <v>0</v>
      </c>
      <c r="Z9" s="35"/>
    </row>
    <row r="10" spans="1:26" ht="13.5" customHeight="1" x14ac:dyDescent="0.2">
      <c r="A10" s="36" t="s">
        <v>42</v>
      </c>
      <c r="B10" s="36" t="s">
        <v>43</v>
      </c>
      <c r="C10" s="37">
        <v>13</v>
      </c>
      <c r="D10" s="36" t="s">
        <v>57</v>
      </c>
      <c r="E10" s="36" t="s">
        <v>55</v>
      </c>
      <c r="F10" s="38">
        <f>RM_uitgaven!F10+RM_ontvangsten!F10</f>
        <v>55000000</v>
      </c>
      <c r="G10" s="38">
        <f t="shared" si="0"/>
        <v>5500000</v>
      </c>
      <c r="H10" s="39"/>
      <c r="I10" s="38">
        <f>RM_uitgaven!H10+RM_ontvangsten!H10</f>
        <v>0</v>
      </c>
      <c r="J10" s="38">
        <f>RM_uitgaven!I10+RM_ontvangsten!I10</f>
        <v>0</v>
      </c>
      <c r="K10" s="38">
        <f t="shared" si="1"/>
        <v>0</v>
      </c>
      <c r="L10" s="38">
        <f>RM_uitgaven!K10+RM_ontvangsten!K10</f>
        <v>0</v>
      </c>
      <c r="M10" s="38">
        <f>RM_uitgaven!L10+RM_ontvangsten!L10</f>
        <v>0</v>
      </c>
      <c r="N10" s="38">
        <f t="shared" si="2"/>
        <v>0</v>
      </c>
      <c r="O10" s="36" t="str">
        <f t="shared" si="3"/>
        <v>nee</v>
      </c>
      <c r="P10" s="36" t="s">
        <v>46</v>
      </c>
      <c r="Q10" s="36" t="str">
        <f t="shared" si="4"/>
        <v>nvt</v>
      </c>
      <c r="R10" s="36" t="str">
        <f>IF(O10="ja",IFERROR(RM_uitgaven!P10+RM_ontvangsten!P10,"Vul in op U &amp; O"),"nvt")</f>
        <v>nvt</v>
      </c>
      <c r="S10" s="36" t="str">
        <f>IF(O10="ja",IFERROR(RM_uitgaven!Q10+RM_ontvangsten!Q10,"Vul in op U &amp; O"),"nvt")</f>
        <v>nvt</v>
      </c>
      <c r="T10" s="36" t="str">
        <f>IF(O10="ja",IFERROR(RM_uitgaven!R10+RM_ontvangsten!R10,"Vul in op U &amp; O"),"nvt")</f>
        <v>nvt</v>
      </c>
      <c r="U10" s="36" t="str">
        <f>IF(O10="ja",IFERROR(RM_uitgaven!S10+RM_ontvangsten!S10,"Vul in op U &amp; O"),"nvt")</f>
        <v>nvt</v>
      </c>
      <c r="V10" s="36" t="str">
        <f>IF(O10="ja",IFERROR(RM_uitgaven!T10+RM_ontvangsten!T10,"Vul in op U &amp; O"),"nvt")</f>
        <v>nvt</v>
      </c>
      <c r="W10" s="36" t="str">
        <f>IF(O10="ja",IFERROR(RM_uitgaven!U10+RM_ontvangsten!U10,"Vul in op U &amp; O"),"nvt")</f>
        <v>nvt</v>
      </c>
      <c r="X10" s="36" t="str">
        <f>IF(O10="ja",IFERROR(RM_uitgaven!V10+RM_ontvangsten!V10,"Vul in op U &amp; O"),"nvt")</f>
        <v>nvt</v>
      </c>
      <c r="Y10" s="38">
        <f t="shared" si="5"/>
        <v>0</v>
      </c>
      <c r="Z10" s="39"/>
    </row>
    <row r="11" spans="1:26" ht="13.5" customHeight="1" x14ac:dyDescent="0.2">
      <c r="A11" s="40" t="s">
        <v>42</v>
      </c>
      <c r="B11" s="40" t="s">
        <v>43</v>
      </c>
      <c r="C11" s="41"/>
      <c r="D11" s="42"/>
      <c r="E11" s="43" t="s">
        <v>58</v>
      </c>
      <c r="F11" s="44">
        <f>SUM(F2:F10)-F4+RM_ontvangsten!F4</f>
        <v>2283000000.1500001</v>
      </c>
      <c r="G11" s="44">
        <f>IF(F11&lt;=250000000,0.1*F11,IF(AND(F11&gt;250000000,F11&lt;=1250000000),25000000,IF(AND(F11&gt;1250000000,F11&lt;=50000000000),0.02*F11,1000000000)))</f>
        <v>45660000.003000006</v>
      </c>
      <c r="H11" s="43" t="str">
        <f>IF(COUNTIF(H2:H10,"ja")&gt;0,"ja","")</f>
        <v>ja</v>
      </c>
      <c r="I11" s="44">
        <f>SUM(I2:I10)</f>
        <v>25000000</v>
      </c>
      <c r="J11" s="44">
        <f>SUM(J2:J10)</f>
        <v>30160000</v>
      </c>
      <c r="K11" s="44">
        <f>SUM(K2:K10)</f>
        <v>55160000</v>
      </c>
      <c r="L11" s="44">
        <f>IF(SUM(L2:L10)&gt;0,"Bereken optelling handmatig",0)</f>
        <v>0</v>
      </c>
      <c r="M11" s="44">
        <v>7000000</v>
      </c>
      <c r="N11" s="44">
        <f>IFERROR(K11+L11+M11,K11)</f>
        <v>62160000</v>
      </c>
      <c r="O11" s="43" t="str">
        <f t="shared" si="3"/>
        <v>ja</v>
      </c>
      <c r="P11" s="45"/>
      <c r="Q11" s="44">
        <f t="shared" si="4"/>
        <v>2.4161191413217618E-2</v>
      </c>
      <c r="R11" s="44">
        <f t="shared" ref="R11:X11" si="6">SUM(R2:R10)</f>
        <v>0</v>
      </c>
      <c r="S11" s="44">
        <f t="shared" si="6"/>
        <v>50000000</v>
      </c>
      <c r="T11" s="44">
        <f t="shared" si="6"/>
        <v>0</v>
      </c>
      <c r="U11" s="44">
        <f t="shared" si="6"/>
        <v>0</v>
      </c>
      <c r="V11" s="44">
        <f t="shared" si="6"/>
        <v>0</v>
      </c>
      <c r="W11" s="44">
        <f t="shared" si="6"/>
        <v>0</v>
      </c>
      <c r="X11" s="44">
        <f t="shared" si="6"/>
        <v>0</v>
      </c>
      <c r="Y11" s="44">
        <f t="shared" si="5"/>
        <v>50000000</v>
      </c>
      <c r="Z11" s="45"/>
    </row>
    <row r="12" spans="1:26" ht="13.5" customHeight="1" x14ac:dyDescent="0.2">
      <c r="A12" s="46"/>
      <c r="B12" s="46"/>
      <c r="C12" s="46"/>
      <c r="D12" s="46"/>
      <c r="E12" s="41"/>
      <c r="F12" s="41"/>
      <c r="G12" s="41"/>
      <c r="H12" s="41"/>
      <c r="I12" s="41"/>
      <c r="J12" s="41"/>
      <c r="K12" s="41"/>
      <c r="L12" s="41"/>
      <c r="M12" s="41"/>
      <c r="N12" s="41"/>
      <c r="O12" s="41"/>
      <c r="P12" s="41"/>
      <c r="Q12" s="41"/>
      <c r="R12" s="41"/>
      <c r="S12" s="41"/>
      <c r="T12" s="41"/>
      <c r="U12" s="41"/>
      <c r="V12" s="41"/>
      <c r="W12" s="41"/>
      <c r="X12" s="41"/>
      <c r="Y12" s="41"/>
      <c r="Z12" s="41"/>
    </row>
  </sheetData>
  <dataValidations count="1">
    <dataValidation type="list" allowBlank="1" showInputMessage="1" showErrorMessage="1" sqref="H2:H10 P2:P11" xr:uid="{00000000-0002-0000-0300-000000000000}">
      <formula1>"ja,nee"</formula1>
    </dataValidation>
  </dataValidations>
  <pageMargins left="0.7" right="0.7" top="0.75" bottom="0.75" header="0.3" footer="0.3"/>
  <pageSetup orientation="portrait"/>
  <headerFooter>
    <oddFooter>&amp;C&amp;"Helvetica Neue,Regular"&amp;12&amp;K000000&amp;P</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showGridLines="0" workbookViewId="0"/>
  </sheetViews>
  <sheetFormatPr baseColWidth="10" defaultColWidth="10.83203125" defaultRowHeight="14.5" customHeight="1" x14ac:dyDescent="0.2"/>
  <cols>
    <col min="1" max="6" width="10.83203125" style="1" customWidth="1"/>
    <col min="7" max="16384" width="10.83203125" style="1"/>
  </cols>
  <sheetData>
    <row r="1" spans="1:5" ht="13.5" customHeight="1" x14ac:dyDescent="0.2">
      <c r="A1" s="48" t="s">
        <v>48</v>
      </c>
      <c r="B1" s="4"/>
      <c r="C1" s="4"/>
      <c r="D1" s="4"/>
      <c r="E1" s="4"/>
    </row>
    <row r="2" spans="1:5" ht="13.5" customHeight="1" x14ac:dyDescent="0.2">
      <c r="A2" s="48" t="s">
        <v>46</v>
      </c>
      <c r="B2" s="4"/>
      <c r="C2" s="4"/>
      <c r="D2" s="4"/>
      <c r="E2" s="4"/>
    </row>
    <row r="3" spans="1:5" ht="13.5" customHeight="1" x14ac:dyDescent="0.2">
      <c r="A3" s="4"/>
      <c r="B3" s="4"/>
      <c r="C3" s="4"/>
      <c r="D3" s="4"/>
      <c r="E3" s="4"/>
    </row>
    <row r="4" spans="1:5" ht="13.5" customHeight="1" x14ac:dyDescent="0.2">
      <c r="A4" s="4"/>
      <c r="B4" s="4"/>
      <c r="C4" s="4"/>
      <c r="D4" s="4"/>
      <c r="E4" s="4"/>
    </row>
    <row r="5" spans="1:5" ht="13.5" customHeight="1" x14ac:dyDescent="0.2">
      <c r="A5" s="4"/>
      <c r="B5" s="4"/>
      <c r="C5" s="4"/>
      <c r="D5" s="4"/>
      <c r="E5" s="4"/>
    </row>
    <row r="6" spans="1:5" ht="13.5" customHeight="1" x14ac:dyDescent="0.2">
      <c r="A6" s="4"/>
      <c r="B6" s="4"/>
      <c r="C6" s="4"/>
      <c r="D6" s="4"/>
      <c r="E6" s="4"/>
    </row>
    <row r="7" spans="1:5" ht="13.5" customHeight="1" x14ac:dyDescent="0.2">
      <c r="A7" s="4"/>
      <c r="B7" s="4"/>
      <c r="C7" s="4"/>
      <c r="D7" s="4"/>
      <c r="E7" s="4"/>
    </row>
    <row r="8" spans="1:5" ht="13.5" customHeight="1" x14ac:dyDescent="0.2">
      <c r="A8" s="4"/>
      <c r="B8" s="4"/>
      <c r="C8" s="4"/>
      <c r="D8" s="4"/>
      <c r="E8" s="4"/>
    </row>
    <row r="9" spans="1:5" ht="13.5" customHeight="1" x14ac:dyDescent="0.2">
      <c r="A9" s="4"/>
      <c r="B9" s="4"/>
      <c r="C9" s="4"/>
      <c r="D9" s="4"/>
      <c r="E9" s="4"/>
    </row>
    <row r="10" spans="1:5" ht="13.5" customHeight="1" x14ac:dyDescent="0.2">
      <c r="A10" s="4"/>
      <c r="B10" s="4"/>
      <c r="C10" s="4"/>
      <c r="D10" s="4"/>
      <c r="E10" s="4"/>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Infoblad</vt:lpstr>
      <vt:lpstr>RM_uitgaven</vt:lpstr>
      <vt:lpstr>RM_ontvangsten</vt:lpstr>
      <vt:lpstr>RM_uitgaven_en_ontvangsten</vt:lpstr>
      <vt:lpstr>bereik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2026-04-10T09:21:16Z</dcterms:created>
  <dcterms:modified xsi:type="dcterms:W3CDTF">2026-04-10T09:29:30Z</dcterms:modified>
</cp:coreProperties>
</file>